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Rate_Card" sheetId="3" state="visible" r:id="rId5"/>
    <sheet name="PAYG_Model" sheetId="4" state="visible" r:id="rId6"/>
    <sheet name="Commit_Monthly" sheetId="5" state="visible" r:id="rId7"/>
    <sheet name="Commit_Annual" sheetId="6" state="visible" r:id="rId8"/>
    <sheet name="Plan_Economics" sheetId="7" state="visible" r:id="rId9"/>
    <sheet name="Sensitivity" sheetId="8" state="visible" r:id="rId10"/>
    <sheet name="Forecast_12M" sheetId="9" state="visible" r:id="rId11"/>
    <sheet name="Forecast_3Y" sheetId="10" state="visible" r:id="rId12"/>
    <sheet name="Worked_Example"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<sst xmlns="http://schemas.openxmlformats.org/spreadsheetml/2006/main" count="724" uniqueCount="515">
  <si>
    <t xml:space="preserve">Serverless Inference Pricing Model</t>
  </si>
  <si>
    <t xml:space="preserve">Akamai Serverless Inference. Partner-sourced catalog, token-based pricing. Rebuilt 31 July 2026.</t>
  </si>
  <si>
    <t xml:space="preserve">Colour convention</t>
  </si>
  <si>
    <t xml:space="preserve">Blue text</t>
  </si>
  <si>
    <t xml:space="preserve">Hardcoded input or scenario lever. Edit these.</t>
  </si>
  <si>
    <t xml:space="preserve">Black text</t>
  </si>
  <si>
    <t xml:space="preserve">Formula computed on this tab.</t>
  </si>
  <si>
    <t xml:space="preserve">Green text</t>
  </si>
  <si>
    <t xml:space="preserve">Formula that links to another tab.</t>
  </si>
  <si>
    <t xml:space="preserve">Yellow fill</t>
  </si>
  <si>
    <t xml:space="preserve">Key assumption. Change with care, it moves every downstream number.</t>
  </si>
  <si>
    <t xml:space="preserve">Tabs</t>
  </si>
  <si>
    <t xml:space="preserve">PAYG_Model</t>
  </si>
  <si>
    <t xml:space="preserve">Pay as you go. Mechanics, rate build, unit economics, sample month, and its share of the launch year.</t>
  </si>
  <si>
    <t xml:space="preserve">Commit_Monthly</t>
  </si>
  <si>
    <t xml:space="preserve">Monthly commit term. Tier ladder, realized rate build, and both invoice cases, the shortfall month and the overage month.</t>
  </si>
  <si>
    <t xml:space="preserve">Commit_Annual</t>
  </si>
  <si>
    <t xml:space="preserve">Annual commit term. Tier ladder, realized rate build, and a full 12-month rolling shortfall balance worked through to term-end reconciliation.</t>
  </si>
  <si>
    <t xml:space="preserve">Sensitivity</t>
  </si>
  <si>
    <t xml:space="preserve">What the partner discount is worth and where the negotiation floors sit. Also positioning, commit adoption, volume and workload mix.</t>
  </si>
  <si>
    <t xml:space="preserve">Inputs</t>
  </si>
  <si>
    <t xml:space="preserve">Every assumption in the model sits here. Nothing else is typed anywhere else except the partner retail rates on Rate_Card.</t>
  </si>
  <si>
    <t xml:space="preserve">Rate_Card</t>
  </si>
  <si>
    <t xml:space="preserve">26 model families. Partner retail in, list price out, through the 4-step derivation. Class rollups and the traffic-blended portfolio rate at the bottom.</t>
  </si>
  <si>
    <t xml:space="preserve">Plan_Economics</t>
  </si>
  <si>
    <t xml:space="preserve">Commit tier ladder, commitment denomination, expected tier mix, realized rate per plan, and unit economics per 1M tokens.</t>
  </si>
  <si>
    <t xml:space="preserve">Forecast_12M</t>
  </si>
  <si>
    <t xml:space="preserve">Launch year by month. Volume, plan mix ramp, revenue, gross profit, operating profit, contracted revenue.</t>
  </si>
  <si>
    <t xml:space="preserve">Forecast_3Y</t>
  </si>
  <si>
    <t xml:space="preserve">Three-year view with price deflation and fixed cost inflation.</t>
  </si>
  <si>
    <t xml:space="preserve">Worked_Example</t>
  </si>
  <si>
    <t xml:space="preserve">One model, one customer, the same consumption priced 3 ways on even and lumpy usage.</t>
  </si>
  <si>
    <t xml:space="preserve">How the price is derived</t>
  </si>
  <si>
    <t xml:space="preserve">Partner cost</t>
  </si>
  <si>
    <t xml:space="preserve">equals partner retail x (1 minus discount won on that model)</t>
  </si>
  <si>
    <t xml:space="preserve">Floor price</t>
  </si>
  <si>
    <t xml:space="preserve">equals partner cost / (1 minus margin floor)</t>
  </si>
  <si>
    <t xml:space="preserve">Ceiling price</t>
  </si>
  <si>
    <t xml:space="preserve">equals partner retail, which is the arbitrage limit</t>
  </si>
  <si>
    <t xml:space="preserve">List price</t>
  </si>
  <si>
    <t xml:space="preserve">equals floor plus Position_Score x (ceiling minus floor)</t>
  </si>
  <si>
    <t xml:space="preserve">Blended rate</t>
  </si>
  <si>
    <t xml:space="preserve">equals 0.60 x input plus 0.20 x cached plus 0.20 x output</t>
  </si>
  <si>
    <t xml:space="preserve">Provenance</t>
  </si>
  <si>
    <t xml:space="preserve">Rate card</t>
  </si>
  <si>
    <t xml:space="preserve">26 model families, published in section 3.1 of the Inference Billing Requirements document.</t>
  </si>
  <si>
    <t xml:space="preserve">Partner retail</t>
  </si>
  <si>
    <t xml:space="preserve">Baseten and DeepInfra published prices, captured July 2026, 31 rows collapsing to 26 families. Retail on Rate_Card is stated per component at the level that reproduces the published card at the launch assumptions. Replace with the raw partner catalog when it is reloaded.</t>
  </si>
  <si>
    <t xml:space="preserve">Position score</t>
  </si>
  <si>
    <t xml:space="preserve">Class-level launch defaults standing in for the per-model derivation from 4 stored inputs. Largest accuracy gain available.</t>
  </si>
  <si>
    <t xml:space="preserve">Traffic share</t>
  </si>
  <si>
    <t xml:space="preserve">Assumption. Replace with tech preview telemetry once a full billing period is available.</t>
  </si>
  <si>
    <t xml:space="preserve">Discount won</t>
  </si>
  <si>
    <t xml:space="preserve">45% is an assumption, not a signed term. Below 30% the method produces no valid price band.</t>
  </si>
  <si>
    <t xml:space="preserve">Headline recommendation on the partner discount</t>
  </si>
  <si>
    <t xml:space="preserve">Target</t>
  </si>
  <si>
    <t xml:space="preserve">50% off partner retail. Portfolio gross margin 42.1%, worst single model 39.7%, and the deepest commit tier still clears the margin floor with 9.6 points of headroom.</t>
  </si>
  <si>
    <t xml:space="preserve">Accept</t>
  </si>
  <si>
    <t xml:space="preserve">40%. Portfolio gross margin 35.6% and 4.7 points of headroom on the commit floor.</t>
  </si>
  <si>
    <t xml:space="preserve">Absolute floor</t>
  </si>
  <si>
    <t xml:space="preserve">35%. Below this the deepest commit tier falls through the 15% commit margin floor and the tier ladder has to be cut short.</t>
  </si>
  <si>
    <t xml:space="preserve">Walk away</t>
  </si>
  <si>
    <t xml:space="preserve">30%. No valid price band exists at all, because the floor price rises above the ceiling.</t>
  </si>
  <si>
    <t xml:space="preserve">What a point is worth</t>
  </si>
  <si>
    <t xml:space="preserve">About 0.69 points of portfolio margin and $5,790 of launch-year gross profit, at a cost of $11,666 of launch-year revenue.</t>
  </si>
  <si>
    <t xml:space="preserve">Open items</t>
  </si>
  <si>
    <t xml:space="preserve">Tier 1 spread</t>
  </si>
  <si>
    <t xml:space="preserve">Tier 1 spans 4.04x and carries 55% of traffic. Needs a split before the blended rate is quoted outside the pricing document.</t>
  </si>
  <si>
    <t xml:space="preserve">Provider concentration</t>
  </si>
  <si>
    <t xml:space="preserve">DeepInfra wins 24 of 26 families and every contested one. Re-test the dual-provider position at the next term sheet.</t>
  </si>
  <si>
    <t xml:space="preserve">Commit sample tiers</t>
  </si>
  <si>
    <t xml:space="preserve">The billing document invoice samples use $5,000 a month at 12%. That combination is not on the tier ladder.</t>
  </si>
  <si>
    <t xml:space="preserve">Every blue cell is an input. Yellow fill marks the assumptions that move the most downstream.</t>
  </si>
  <si>
    <t xml:space="preserve">Derivation</t>
  </si>
  <si>
    <t xml:space="preserve">Input</t>
  </si>
  <si>
    <t xml:space="preserve">Value</t>
  </si>
  <si>
    <t xml:space="preserve">Basis</t>
  </si>
  <si>
    <t xml:space="preserve">Margin floor at list</t>
  </si>
  <si>
    <t xml:space="preserve">Pricing policy. 30% gross margin, no exceptions at list.</t>
  </si>
  <si>
    <t xml:space="preserve">Negotiated wholesale discount</t>
  </si>
  <si>
    <t xml:space="preserve">Assumption, not a signed term. Below 30% no valid price band exists.</t>
  </si>
  <si>
    <t xml:space="preserve">Workload mix, input share</t>
  </si>
  <si>
    <t xml:space="preserve">Platform-level assumption. Repriced every model when it changes.</t>
  </si>
  <si>
    <t xml:space="preserve">Workload mix, cached share</t>
  </si>
  <si>
    <t xml:space="preserve">Rises as agentic traffic grows.</t>
  </si>
  <si>
    <t xml:space="preserve">Workload mix, output share</t>
  </si>
  <si>
    <t xml:space="preserve">The expensive component.</t>
  </si>
  <si>
    <t xml:space="preserve">Workload mix check, must equal 100%</t>
  </si>
  <si>
    <t xml:space="preserve">Price classes</t>
  </si>
  <si>
    <t xml:space="preserve">Class</t>
  </si>
  <si>
    <t xml:space="preserve">Upper threshold $/1M</t>
  </si>
  <si>
    <t xml:space="preserve">Tier 1 Small</t>
  </si>
  <si>
    <t xml:space="preserve">Position score is a class-level launch default standing in for the per-model derivation.</t>
  </si>
  <si>
    <t xml:space="preserve">Tier 2 Medium</t>
  </si>
  <si>
    <t xml:space="preserve">Traffic share is an assumption pending tech preview telemetry.</t>
  </si>
  <si>
    <t xml:space="preserve">Tier 3 Large</t>
  </si>
  <si>
    <t xml:space="preserve">Tier 4 Frontier</t>
  </si>
  <si>
    <t xml:space="preserve">No cap</t>
  </si>
  <si>
    <t xml:space="preserve">Traffic share check</t>
  </si>
  <si>
    <t xml:space="preserve">Commit tier ladder</t>
  </si>
  <si>
    <t xml:space="preserve">Tier</t>
  </si>
  <si>
    <t xml:space="preserve">Annual commitment</t>
  </si>
  <si>
    <t xml:space="preserve">Monthly equivalent</t>
  </si>
  <si>
    <t xml:space="preserve">Monthly-term discount</t>
  </si>
  <si>
    <t xml:space="preserve">Annual-term discount</t>
  </si>
  <si>
    <t xml:space="preserve">Tier 1</t>
  </si>
  <si>
    <t xml:space="preserve">Tier 2</t>
  </si>
  <si>
    <t xml:space="preserve">Tier 3</t>
  </si>
  <si>
    <t xml:space="preserve">Tier 4</t>
  </si>
  <si>
    <t xml:space="preserve">Expected tier mix, share of committed tokens</t>
  </si>
  <si>
    <t xml:space="preserve">Monthly term</t>
  </si>
  <si>
    <t xml:space="preserve">Annual term</t>
  </si>
  <si>
    <t xml:space="preserve">Check, both columns</t>
  </si>
  <si>
    <t xml:space="preserve">Realized rate mechanics</t>
  </si>
  <si>
    <t xml:space="preserve">Commit monthly</t>
  </si>
  <si>
    <t xml:space="preserve">Commit annual</t>
  </si>
  <si>
    <t xml:space="preserve">Share of list usage inside the commitment</t>
  </si>
  <si>
    <t xml:space="preserve">Monthly overage is billed at full card rate. A light month is charged to the minimum and forfeited.</t>
  </si>
  <si>
    <t xml:space="preserve">Shortfall uplift, % of plan revenue</t>
  </si>
  <si>
    <t xml:space="preserve">The annual term has no overage rate inside the term and a shortfall rolls forward.</t>
  </si>
  <si>
    <t xml:space="preserve">Plan mix at month 12, share of tokens</t>
  </si>
  <si>
    <t xml:space="preserve">Plan</t>
  </si>
  <si>
    <t xml:space="preserve">Share</t>
  </si>
  <si>
    <t xml:space="preserve">Pay as you go</t>
  </si>
  <si>
    <t xml:space="preserve">Month 1 is 100% pay as you go because nothing is contracted at launch. The mix interpolates linearly to this by month 12.</t>
  </si>
  <si>
    <t xml:space="preserve">Check</t>
  </si>
  <si>
    <t xml:space="preserve">Commit guards</t>
  </si>
  <si>
    <t xml:space="preserve">Maximum permissible commit discount</t>
  </si>
  <si>
    <t xml:space="preserve">Commit gross margin floor, worst single model</t>
  </si>
  <si>
    <t xml:space="preserve">Forecast, launch year</t>
  </si>
  <si>
    <t xml:space="preserve">Month 1 volume, 1M tokens</t>
  </si>
  <si>
    <t xml:space="preserve">Launch seed.</t>
  </si>
  <si>
    <t xml:space="preserve">Monthly volume growth</t>
  </si>
  <si>
    <t xml:space="preserve">Compounding month on month through the launch year.</t>
  </si>
  <si>
    <t xml:space="preserve">Month 1 customers</t>
  </si>
  <si>
    <t xml:space="preserve">Monthly customer growth</t>
  </si>
  <si>
    <t xml:space="preserve">Fixed cost per month</t>
  </si>
  <si>
    <t xml:space="preserve">Gateway, control plane, storage and the launch team.</t>
  </si>
  <si>
    <t xml:space="preserve">Commit adoption ramp exponent</t>
  </si>
  <si>
    <t xml:space="preserve">Shapes how the plan mix moves from 100% pay as you go at month 1 to the month 12 mix. 1.00 is a straight line. Higher is back-loaded, which is what a real commit pipeline looks like because deals take months to close.</t>
  </si>
  <si>
    <t xml:space="preserve">Forecast, three-year</t>
  </si>
  <si>
    <t xml:space="preserve">Annual price deflation, card and wholesale</t>
  </si>
  <si>
    <t xml:space="preserve">Both deflate together so margin percentage holds while dollars per token fall.</t>
  </si>
  <si>
    <t xml:space="preserve">Annual fixed cost inflation</t>
  </si>
  <si>
    <t xml:space="preserve">Volume growth, year 2</t>
  </si>
  <si>
    <t xml:space="preserve">Volume growth, year 3</t>
  </si>
  <si>
    <t xml:space="preserve">Rate Card</t>
  </si>
  <si>
    <t xml:space="preserve">26 model families. Partner retail in, list price out, through the derivation on Inputs. Blue cells are partner retail, everything right of them is formula.</t>
  </si>
  <si>
    <t xml:space="preserve">Blended rate equals 0.60 x input plus 0.20 x cached plus 0.20 x output, at the workload mix on Inputs.</t>
  </si>
  <si>
    <t xml:space="preserve">Model family</t>
  </si>
  <si>
    <t xml:space="preserve">Source</t>
  </si>
  <si>
    <t xml:space="preserve">Retail input</t>
  </si>
  <si>
    <t xml:space="preserve">Retail cached</t>
  </si>
  <si>
    <t xml:space="preserve">Retail output</t>
  </si>
  <si>
    <t xml:space="preserve">Cost input</t>
  </si>
  <si>
    <t xml:space="preserve">Cost cached</t>
  </si>
  <si>
    <t xml:space="preserve">Cost output</t>
  </si>
  <si>
    <t xml:space="preserve">Floor input</t>
  </si>
  <si>
    <t xml:space="preserve">Floor cached</t>
  </si>
  <si>
    <t xml:space="preserve">Floor output</t>
  </si>
  <si>
    <t xml:space="preserve">List input</t>
  </si>
  <si>
    <t xml:space="preserve">List cached</t>
  </si>
  <si>
    <t xml:space="preserve">List output</t>
  </si>
  <si>
    <t xml:space="preserve">Blended list</t>
  </si>
  <si>
    <t xml:space="preserve">Blended cost</t>
  </si>
  <si>
    <t xml:space="preserve">GM at list</t>
  </si>
  <si>
    <t xml:space="preserve">Band exists</t>
  </si>
  <si>
    <t xml:space="preserve">Ceiling ok</t>
  </si>
  <si>
    <t xml:space="preserve">DeepSeek V4 Flash</t>
  </si>
  <si>
    <t xml:space="preserve">DeepInfra</t>
  </si>
  <si>
    <t xml:space="preserve">GLM 4.7 Flash</t>
  </si>
  <si>
    <t xml:space="preserve">Step 3.5 Flash</t>
  </si>
  <si>
    <t xml:space="preserve">DeepSeek V3.2</t>
  </si>
  <si>
    <t xml:space="preserve">Qwen3 VL 235B</t>
  </si>
  <si>
    <t xml:space="preserve">MiniMax M2.5</t>
  </si>
  <si>
    <t xml:space="preserve">DeepSeek V3.1 Terminus</t>
  </si>
  <si>
    <t xml:space="preserve">Qwen3 Coder 480B Turbo</t>
  </si>
  <si>
    <t xml:space="preserve">Qwen3 235B Thinking 2507</t>
  </si>
  <si>
    <t xml:space="preserve">MiMo v2.5</t>
  </si>
  <si>
    <t xml:space="preserve">Kimi K2.5</t>
  </si>
  <si>
    <t xml:space="preserve">Nemotron 3 Ultra</t>
  </si>
  <si>
    <t xml:space="preserve">DeepSeek R1 0528</t>
  </si>
  <si>
    <t xml:space="preserve">GLM 5</t>
  </si>
  <si>
    <t xml:space="preserve">GLM 4.7</t>
  </si>
  <si>
    <t xml:space="preserve">Baseten</t>
  </si>
  <si>
    <t xml:space="preserve">Qwen3.5 397B A17B</t>
  </si>
  <si>
    <t xml:space="preserve">Kimi K2.7 Code</t>
  </si>
  <si>
    <t xml:space="preserve">Kimi K2.6</t>
  </si>
  <si>
    <t xml:space="preserve">GLM 5.2</t>
  </si>
  <si>
    <t xml:space="preserve">MiMo v2.5 Pro</t>
  </si>
  <si>
    <t xml:space="preserve">DeepSeek V4</t>
  </si>
  <si>
    <t xml:space="preserve">GLM 5.1</t>
  </si>
  <si>
    <t xml:space="preserve">Inkling</t>
  </si>
  <si>
    <t xml:space="preserve">Qwen3 Max</t>
  </si>
  <si>
    <t xml:space="preserve">Qwen3 Max Thinking</t>
  </si>
  <si>
    <t xml:space="preserve">Qwen3.7 Max</t>
  </si>
  <si>
    <t xml:space="preserve">Class rollup</t>
  </si>
  <si>
    <t xml:space="preserve">Models</t>
  </si>
  <si>
    <t xml:space="preserve">Avg list $/1M</t>
  </si>
  <si>
    <t xml:space="preserve">Avg wholesale $/1M</t>
  </si>
  <si>
    <t xml:space="preserve">Min list</t>
  </si>
  <si>
    <t xml:space="preserve">Max list</t>
  </si>
  <si>
    <t xml:space="preserve">Within-class spread</t>
  </si>
  <si>
    <t xml:space="preserve">Revenue share</t>
  </si>
  <si>
    <t xml:space="preserve">Avg retail $/1M</t>
  </si>
  <si>
    <t xml:space="preserve">Avg list in</t>
  </si>
  <si>
    <t xml:space="preserve">Avg list cached</t>
  </si>
  <si>
    <t xml:space="preserve">Avg list out</t>
  </si>
  <si>
    <t xml:space="preserve">Avg cost in</t>
  </si>
  <si>
    <t xml:space="preserve">Avg cost cached</t>
  </si>
  <si>
    <t xml:space="preserve">Avg cost out</t>
  </si>
  <si>
    <t xml:space="preserve">Portfolio, traffic-blended</t>
  </si>
  <si>
    <t xml:space="preserve">Card rate $/1M tokens</t>
  </si>
  <si>
    <t xml:space="preserve">This is the number the forecast and plan economics run on.</t>
  </si>
  <si>
    <t xml:space="preserve">Wholesale cost $/1M tokens</t>
  </si>
  <si>
    <t xml:space="preserve">Gross profit $/1M tokens</t>
  </si>
  <si>
    <t xml:space="preserve">Gross margin at list</t>
  </si>
  <si>
    <t xml:space="preserve">Worst single model GM</t>
  </si>
  <si>
    <t xml:space="preserve">Tested against the commit floor guard on Plan_Economics.</t>
  </si>
  <si>
    <t xml:space="preserve">Note. Retail is stated per component at the level that reproduces the published card at the launch assumptions. When the raw partner catalog is reloaded, overwrite columns E to G with published partner retail and the list prices will re-derive.</t>
  </si>
  <si>
    <t xml:space="preserve">Pay As You Go</t>
  </si>
  <si>
    <t xml:space="preserve">The default plan. Metered consumption at the published card rate, no minimum, no term, no negotiation.</t>
  </si>
  <si>
    <t xml:space="preserve">Mechanics</t>
  </si>
  <si>
    <t xml:space="preserve">Rate applied</t>
  </si>
  <si>
    <t xml:space="preserve">Published card rate for the model and token component. No customer-specific card.</t>
  </si>
  <si>
    <t xml:space="preserve">Minimum spend</t>
  </si>
  <si>
    <t xml:space="preserve">None. A month with no traffic produces no invoice.</t>
  </si>
  <si>
    <t xml:space="preserve">Term</t>
  </si>
  <si>
    <t xml:space="preserve">None. The customer can stop at any time.</t>
  </si>
  <si>
    <t xml:space="preserve">Rate changes</t>
  </si>
  <si>
    <t xml:space="preserve">A published card change takes effect on the next billing period. There is no rate lock.</t>
  </si>
  <si>
    <t xml:space="preserve">Invoice</t>
  </si>
  <si>
    <t xml:space="preserve">Sum over every model and component of tokens x the rate quoted from the card.</t>
  </si>
  <si>
    <t xml:space="preserve">Why it exists</t>
  </si>
  <si>
    <t xml:space="preserve">It is the on-ramp. Every customer starts here, and it sets the reference price that both commit plans discount from.</t>
  </si>
  <si>
    <t xml:space="preserve">Rate and unit economics per 1M tokens</t>
  </si>
  <si>
    <t xml:space="preserve">Metric</t>
  </si>
  <si>
    <t xml:space="preserve">Note</t>
  </si>
  <si>
    <t xml:space="preserve">Card rate, traffic-blended</t>
  </si>
  <si>
    <t xml:space="preserve">Portfolio blend across the 4 price classes at the traffic shares on Inputs.</t>
  </si>
  <si>
    <t xml:space="preserve">Effective multiplier vs card</t>
  </si>
  <si>
    <t xml:space="preserve">There is no discount, no minimum and no shortfall, so the multiplier is exactly 1.</t>
  </si>
  <si>
    <t xml:space="preserve">Realized rate</t>
  </si>
  <si>
    <t xml:space="preserve">Wholesale cost</t>
  </si>
  <si>
    <t xml:space="preserve">Identical on all 3 plans. The partner is paid per token whatever the customer contract says.</t>
  </si>
  <si>
    <t xml:space="preserve">Gross profit</t>
  </si>
  <si>
    <t xml:space="preserve">Gross margin</t>
  </si>
  <si>
    <t xml:space="preserve">The highest of the 3 plans, by construction.</t>
  </si>
  <si>
    <t xml:space="preserve">Sample month</t>
  </si>
  <si>
    <t xml:space="preserve">Line</t>
  </si>
  <si>
    <t xml:space="preserve">Volume 1M tokens</t>
  </si>
  <si>
    <t xml:space="preserve">Rate $/1M</t>
  </si>
  <si>
    <t xml:space="preserve">Amount</t>
  </si>
  <si>
    <t xml:space="preserve">Metered consumption</t>
  </si>
  <si>
    <t xml:space="preserve">Blue cell. Change the volume to reprice the month.</t>
  </si>
  <si>
    <t xml:space="preserve">Discount applied</t>
  </si>
  <si>
    <t xml:space="preserve">Invoice total</t>
  </si>
  <si>
    <t xml:space="preserve">Wholesale cost of that month</t>
  </si>
  <si>
    <t xml:space="preserve">Contribution to the launch year</t>
  </si>
  <si>
    <t xml:space="preserve">Share of tokens at month 12</t>
  </si>
  <si>
    <t xml:space="preserve">Pay as you go carries the whole book at launch and falls to under a third by month 12 as commit deals close.</t>
  </si>
  <si>
    <t xml:space="preserve">Share of tokens at month 1</t>
  </si>
  <si>
    <t xml:space="preserve">Revenue across the launch year</t>
  </si>
  <si>
    <t xml:space="preserve">Share of launch-year revenue</t>
  </si>
  <si>
    <t xml:space="preserve">Commit, Monthly Term</t>
  </si>
  <si>
    <t xml:space="preserve">A minimum monthly spend in exchange for a discounted rate card. Each month settles on its own.</t>
  </si>
  <si>
    <t xml:space="preserve">Commitment</t>
  </si>
  <si>
    <t xml:space="preserve">A monetary minimum per month, stated in discounted dollars.</t>
  </si>
  <si>
    <t xml:space="preserve">A customer-specific card at the tier discount off list, on usage up to the commitment.</t>
  </si>
  <si>
    <t xml:space="preserve">Above the commitment</t>
  </si>
  <si>
    <t xml:space="preserve">Overage is billed at the full published card rate, not the discounted rate.</t>
  </si>
  <si>
    <t xml:space="preserve">Below the commitment</t>
  </si>
  <si>
    <t xml:space="preserve">The invoice is the minimum. The shortfall is charged that same month.</t>
  </si>
  <si>
    <t xml:space="preserve">Carryover</t>
  </si>
  <si>
    <t xml:space="preserve">None. A light month is forfeited and does not reduce a later month.</t>
  </si>
  <si>
    <t xml:space="preserve">Greater of the contractual minimum or actual rated usage.</t>
  </si>
  <si>
    <t xml:space="preserve">Tier ladder</t>
  </si>
  <si>
    <t xml:space="preserve">Monthly minimum</t>
  </si>
  <si>
    <t xml:space="preserve">Discount</t>
  </si>
  <si>
    <t xml:space="preserve">List usage that fills the minimum</t>
  </si>
  <si>
    <t xml:space="preserve">Expected share of committed tokens</t>
  </si>
  <si>
    <t xml:space="preserve">Weighted discount</t>
  </si>
  <si>
    <t xml:space="preserve">A commitment is stated in discounted dollars, so the list usage needed to reach it is always larger than the commitment itself.</t>
  </si>
  <si>
    <t xml:space="preserve">Component</t>
  </si>
  <si>
    <t xml:space="preserve">Weighted discount off card rate</t>
  </si>
  <si>
    <t xml:space="preserve">From the tier ladder above.</t>
  </si>
  <si>
    <t xml:space="preserve">The rest is overage at full card rate.</t>
  </si>
  <si>
    <t xml:space="preserve">Share billed at full card rate</t>
  </si>
  <si>
    <t xml:space="preserve">Revenue collected above consumption when a customer bills to the minimum in a light month.</t>
  </si>
  <si>
    <t xml:space="preserve">Effective multiplier vs card rate</t>
  </si>
  <si>
    <t xml:space="preserve">Lands on top of pay as you go. The stated discount is almost entirely given back through overage and forfeits.</t>
  </si>
  <si>
    <t xml:space="preserve">Realized rate $/1M</t>
  </si>
  <si>
    <t xml:space="preserve">Wholesale cost $/1M</t>
  </si>
  <si>
    <t xml:space="preserve">Gross profit $/1M</t>
  </si>
  <si>
    <t xml:space="preserve">Points given up vs pay as you go</t>
  </si>
  <si>
    <t xml:space="preserve">Close to zero. This plan is nearly free to offer.</t>
  </si>
  <si>
    <t xml:space="preserve">Sample invoices, Tier 2</t>
  </si>
  <si>
    <t xml:space="preserve">Monthly minimum and discount are pulled from the ladder. Change the usage cell to switch between the two cases.</t>
  </si>
  <si>
    <t xml:space="preserve">Shortfall month</t>
  </si>
  <si>
    <t xml:space="preserve">Overage month</t>
  </si>
  <si>
    <t xml:space="preserve">List usage in the month</t>
  </si>
  <si>
    <t xml:space="preserve">Usage inside the commitment, at list</t>
  </si>
  <si>
    <t xml:space="preserve">Discount on that usage</t>
  </si>
  <si>
    <t xml:space="preserve">Overage, at full card rate</t>
  </si>
  <si>
    <t xml:space="preserve">Rated usage total</t>
  </si>
  <si>
    <t xml:space="preserve">Shortfall to the minimum</t>
  </si>
  <si>
    <t xml:space="preserve">The shortfall month pays more than it consumed. The overage month realizes far less than the headline discount.</t>
  </si>
  <si>
    <t xml:space="preserve">Effective discount realized</t>
  </si>
  <si>
    <t xml:space="preserve">Sizing guardrail</t>
  </si>
  <si>
    <t xml:space="preserve">Size the tier against the trough month, not the average. A monthly commit only pays back when the lightest month a customer expects still clears the minimum.</t>
  </si>
  <si>
    <t xml:space="preserve">Commit, Annual Term</t>
  </si>
  <si>
    <t xml:space="preserve">A minimum spend across a 12-month term. Shortfalls roll month to month as a running balance and reconcile once at term end.</t>
  </si>
  <si>
    <t xml:space="preserve">A monetary minimum for the full term, spread pro-rata across 12 months to set a monthly minimum.</t>
  </si>
  <si>
    <t xml:space="preserve">A customer-specific card at the tier discount, locked for the term.</t>
  </si>
  <si>
    <t xml:space="preserve">Above the minimum</t>
  </si>
  <si>
    <t xml:space="preserve">No separate overage rate. All in-term usage is billed at the locked discounted rate.</t>
  </si>
  <si>
    <t xml:space="preserve">Below the minimum</t>
  </si>
  <si>
    <t xml:space="preserve">The month is invoiced at actual usage. The gap adds to a rolling shortfall balance carried as a memo, not charged.</t>
  </si>
  <si>
    <t xml:space="preserve">Rolling balance</t>
  </si>
  <si>
    <t xml:space="preserve">Equals the greater of zero and the pro-rata minimum owed to date less cumulative usage to date. A heavy month draws it back down.</t>
  </si>
  <si>
    <t xml:space="preserve">Term end</t>
  </si>
  <si>
    <t xml:space="preserve">The remaining balance is reconciled once, on the final invoice.</t>
  </si>
  <si>
    <t xml:space="preserve">Why a customer moves here</t>
  </si>
  <si>
    <t xml:space="preserve">A deeper discount at every tier, shortfall rollover instead of forfeit, and a rate lock. The trade is a 12-month commitment.</t>
  </si>
  <si>
    <t xml:space="preserve">Pro-rata monthly minimum</t>
  </si>
  <si>
    <t xml:space="preserve">List usage that fills the term</t>
  </si>
  <si>
    <t xml:space="preserve">Extra points vs monthly term</t>
  </si>
  <si>
    <t xml:space="preserve">Deeper than the monthly ladder at every tier.</t>
  </si>
  <si>
    <t xml:space="preserve">All in-term usage prices at the locked rate, so this is 100%.</t>
  </si>
  <si>
    <t xml:space="preserve">No overage rate inside the term.</t>
  </si>
  <si>
    <t xml:space="preserve">Small. A shortfall rolls forward rather than being charged, so it is only collected at term end.</t>
  </si>
  <si>
    <t xml:space="preserve">This is the only plan that trades real margin.</t>
  </si>
  <si>
    <t xml:space="preserve">The price of contracted revenue and a longer relationship.</t>
  </si>
  <si>
    <t xml:space="preserve">Rolling balance, Tier 2 worked term</t>
  </si>
  <si>
    <t xml:space="preserve">Blue cells are monthly list usage. The balance is a memo on the invoice, never charged until term end.</t>
  </si>
  <si>
    <t xml:space="preserve">Locked discount</t>
  </si>
  <si>
    <t xml:space="preserve">Month</t>
  </si>
  <si>
    <t xml:space="preserve">Term total</t>
  </si>
  <si>
    <t xml:space="preserve">Invoice, usage at the locked rate</t>
  </si>
  <si>
    <t xml:space="preserve">Cumulative invoiced</t>
  </si>
  <si>
    <t xml:space="preserve">Cumulative minimum owed to date</t>
  </si>
  <si>
    <t xml:space="preserve">Rolling shortfall balance, memo only</t>
  </si>
  <si>
    <t xml:space="preserve">Term-end reconciliation</t>
  </si>
  <si>
    <t xml:space="preserve">Total invoiced</t>
  </si>
  <si>
    <t xml:space="preserve">Term summary</t>
  </si>
  <si>
    <t xml:space="preserve">List value of term usage</t>
  </si>
  <si>
    <t xml:space="preserve">When the term clears on usage the customer realizes the full headline discount, which is the difference from the monthly plan.</t>
  </si>
  <si>
    <t xml:space="preserve">Invoiced across the term</t>
  </si>
  <si>
    <t xml:space="preserve">Headline tier discount</t>
  </si>
  <si>
    <t xml:space="preserve">Gap between headline and realized</t>
  </si>
  <si>
    <t xml:space="preserve">Commitment met</t>
  </si>
  <si>
    <t xml:space="preserve">Plan Economics</t>
  </si>
  <si>
    <t xml:space="preserve">Two plans ship in v1, pay as you go and commit. Commit is minimum-spend with true-up, sold on a monthly or annual term.</t>
  </si>
  <si>
    <t xml:space="preserve">Commitment denomination</t>
  </si>
  <si>
    <t xml:space="preserve">A commitment is stated in discounted dollars. The list usage required to reach it is larger than the commitment itself.</t>
  </si>
  <si>
    <t xml:space="preserve">List usage to reach a commitment equals commitment / (1 minus discount).</t>
  </si>
  <si>
    <t xml:space="preserve">List usage to reach it</t>
  </si>
  <si>
    <t xml:space="preserve">Weighted discount by term</t>
  </si>
  <si>
    <t xml:space="preserve">The discount actually given up is the tier discount weighted by where committed tokens land.</t>
  </si>
  <si>
    <t xml:space="preserve">Annual gives up more</t>
  </si>
  <si>
    <t xml:space="preserve">Effective multiplier equals (share inside the commitment x (1 minus discount) plus overage share) x (1 plus shortfall uplift).</t>
  </si>
  <si>
    <t xml:space="preserve">0</t>
  </si>
  <si>
    <t xml:space="preserve">1</t>
  </si>
  <si>
    <t xml:space="preserve">The monthly term lands on top of pay as you go once overage and forfeits are counted, so it costs close to nothing in margin to offer. Only the annual term trades real margin.</t>
  </si>
  <si>
    <t xml:space="preserve">Unit economics per 1M tokens</t>
  </si>
  <si>
    <t xml:space="preserve">Wholesale cost is identical on all 3 plans. The partner is paid per token whatever the customer contract says.</t>
  </si>
  <si>
    <t xml:space="preserve">Blended</t>
  </si>
  <si>
    <t xml:space="preserve">Token share at month 12</t>
  </si>
  <si>
    <t xml:space="preserve">Gross margin %</t>
  </si>
  <si>
    <t xml:space="preserve">Commit floor guard</t>
  </si>
  <si>
    <t xml:space="preserve">The maximum permissible discount is set at the point where gross margin reaches the commit floor on the worst single model.</t>
  </si>
  <si>
    <t xml:space="preserve">Test</t>
  </si>
  <si>
    <t xml:space="preserve">Result</t>
  </si>
  <si>
    <t xml:space="preserve">Worst single model, gross margin at card rate</t>
  </si>
  <si>
    <t xml:space="preserve">That model at the maximum commit discount</t>
  </si>
  <si>
    <t xml:space="preserve">Commit margin floor</t>
  </si>
  <si>
    <t xml:space="preserve">Headroom in points</t>
  </si>
  <si>
    <t xml:space="preserve">Guard</t>
  </si>
  <si>
    <t xml:space="preserve">What the partner discount is worth, and what else moves the answer. Every grid recomputes from the class average retail rates on Rate_Card.</t>
  </si>
  <si>
    <t xml:space="preserve">How the engine works</t>
  </si>
  <si>
    <t xml:space="preserve">Class list at discount d</t>
  </si>
  <si>
    <t xml:space="preserve">equals class average retail x (k plus position x (1 minus k)), where k equals (1 minus d) / (1 minus margin floor)</t>
  </si>
  <si>
    <t xml:space="preserve">Class cost at discount d</t>
  </si>
  <si>
    <t xml:space="preserve">equals class average retail x (1 minus d)</t>
  </si>
  <si>
    <t xml:space="preserve">Portfolio</t>
  </si>
  <si>
    <t xml:space="preserve">traffic-weighted across the 4 classes</t>
  </si>
  <si>
    <t xml:space="preserve">Why list falls as the discount rises</t>
  </si>
  <si>
    <t xml:space="preserve">the method is cost-anchored, so a better wholesale price lowers the floor and lowers the customer price at the same time</t>
  </si>
  <si>
    <t xml:space="preserve">The discount question</t>
  </si>
  <si>
    <t xml:space="preserve">Discount currently assumed</t>
  </si>
  <si>
    <t xml:space="preserve">Assumption, not a signed term.</t>
  </si>
  <si>
    <t xml:space="preserve">Minimum discount for a valid band</t>
  </si>
  <si>
    <t xml:space="preserve">Below the margin floor the floor price exceeds the ceiling and no model can be listed at all.</t>
  </si>
  <si>
    <t xml:space="preserve">Portfolio gross margin at that discount</t>
  </si>
  <si>
    <t xml:space="preserve">Worst single model gross margin</t>
  </si>
  <si>
    <t xml:space="preserve">Tier 1, which carries the majority of traffic.</t>
  </si>
  <si>
    <t xml:space="preserve">Worst model at the deepest commit</t>
  </si>
  <si>
    <t xml:space="preserve">Tested against the 15% commit floor.</t>
  </si>
  <si>
    <t xml:space="preserve">Discount required to reach a target margin</t>
  </si>
  <si>
    <t xml:space="preserve">Read off the fine ladder at the bottom of this tab. Target is portfolio gross margin at list.</t>
  </si>
  <si>
    <t xml:space="preserve">Target portfolio GM</t>
  </si>
  <si>
    <t xml:space="preserve">Required discount</t>
  </si>
  <si>
    <t xml:space="preserve">Points above the floor</t>
  </si>
  <si>
    <t xml:space="preserve">Card rate at that discount</t>
  </si>
  <si>
    <t xml:space="preserve">Launch-year gross profit</t>
  </si>
  <si>
    <t xml:space="preserve">Verdict</t>
  </si>
  <si>
    <t xml:space="preserve">The recommended target sits where the verdict is still Achievable and the launch-year gross profit curve has not flattened.</t>
  </si>
  <si>
    <t xml:space="preserve">Discount ladder</t>
  </si>
  <si>
    <t xml:space="preserve">Card rate $/1M</t>
  </si>
  <si>
    <t xml:space="preserve">Wholesale $/1M</t>
  </si>
  <si>
    <t xml:space="preserve">Portfolio GM</t>
  </si>
  <si>
    <t xml:space="preserve">Worst model GM</t>
  </si>
  <si>
    <t xml:space="preserve">Commit annual GM</t>
  </si>
  <si>
    <t xml:space="preserve">Launch-year revenue</t>
  </si>
  <si>
    <t xml:space="preserve">Launch-year op profit</t>
  </si>
  <si>
    <t xml:space="preserve">Breakeven vol 1M/mo</t>
  </si>
  <si>
    <t xml:space="preserve">GM gain per 5 pts</t>
  </si>
  <si>
    <t xml:space="preserve">GP gain per 5 pts</t>
  </si>
  <si>
    <t xml:space="preserve">Read the two right-hand columns. They show what each additional 5 points of discount actually buys, and where the return starts to flatten.</t>
  </si>
  <si>
    <t xml:space="preserve">Portfolio gross margin, discount against list positioning</t>
  </si>
  <si>
    <t xml:space="preserve">Positioning shift moves every class position score up or down together. Higher means listing closer to the ceiling, which is the arbitrage limit.</t>
  </si>
  <si>
    <t xml:space="preserve">Positioning is the second lever. It moves margin without a negotiation, but it moves the customer price up at the same time.</t>
  </si>
  <si>
    <t xml:space="preserve">Blended gross margin, discount against annual commit adoption</t>
  </si>
  <si>
    <t xml:space="preserve">The annual term is the only plan that trades real margin. This shows how much of the book can sit there before the blend falls below target.</t>
  </si>
  <si>
    <t xml:space="preserve">Pay as you go absorbs the residual share. Where a column pushes the blend below the target, the answer is a shallower annual ladder, not a deeper partner discount.</t>
  </si>
  <si>
    <t xml:space="preserve">Launch-year operating profit, month 1 volume against monthly growth</t>
  </si>
  <si>
    <t xml:space="preserve">Held at the current discount. Shows how much of the launch-year loss is a pricing problem and how much is a demand problem.</t>
  </si>
  <si>
    <t xml:space="preserve">Month 1 volume 1M tokens</t>
  </si>
  <si>
    <t xml:space="preserve">Approximate. It holds the launch-year blended rate constant and rescales volume.</t>
  </si>
  <si>
    <t xml:space="preserve">Card rate and margin against cached-token share</t>
  </si>
  <si>
    <t xml:space="preserve">Cached input is the cheapest component. As agentic traffic grows the cached share rises, which pulls the blended rate down on both sides.</t>
  </si>
  <si>
    <t xml:space="preserve">Cached share</t>
  </si>
  <si>
    <t xml:space="preserve">Input share</t>
  </si>
  <si>
    <t xml:space="preserve">Output share</t>
  </si>
  <si>
    <t xml:space="preserve">Change in card rate</t>
  </si>
  <si>
    <t xml:space="preserve">Negotiation position</t>
  </si>
  <si>
    <t xml:space="preserve">Four discounts matter. Three are constraints the method imposes and one is the commercial target.</t>
  </si>
  <si>
    <t xml:space="preserve">Position</t>
  </si>
  <si>
    <t xml:space="preserve">Worst model at deepest commit</t>
  </si>
  <si>
    <t xml:space="preserve">What breaks below it</t>
  </si>
  <si>
    <t xml:space="preserve">No price band exists. Floor price exceeds the ceiling and not one model can be listed.</t>
  </si>
  <si>
    <t xml:space="preserve">Absolute floor, full commit ladder</t>
  </si>
  <si>
    <t xml:space="preserve">The deepest commit tier falls through the commit margin floor. Tier 4 becomes unsellable and the ladder has to be cut short.</t>
  </si>
  <si>
    <t xml:space="preserve">Portfolio margin falls below 35% and the headroom on the commit floor drops under 3 points, which leaves nothing for a negotiated custom card.</t>
  </si>
  <si>
    <t xml:space="preserve">Nothing breaks. This is where the commit ladder carries full headroom and a custom card can still be signed without an exception.</t>
  </si>
  <si>
    <t xml:space="preserve">What a point of discount is worth</t>
  </si>
  <si>
    <t xml:space="preserve">Per point of discount</t>
  </si>
  <si>
    <t xml:space="preserve">Constant. The method is linear in the discount, so the first point and the fortieth are worth the same dollars.</t>
  </si>
  <si>
    <t xml:space="preserve">On the launch-year volume path.</t>
  </si>
  <si>
    <t xml:space="preserve">Portfolio gross margin, points</t>
  </si>
  <si>
    <t xml:space="preserve">Average. The margin gain accelerates because the denominator shrinks as the discount deepens.</t>
  </si>
  <si>
    <t xml:space="preserve">Negative. The method is cost-anchored, so a better wholesale price is passed to the customer as a lower list price.</t>
  </si>
  <si>
    <t xml:space="preserve">Revenue falls while gross profit rises. If the list price should hold as the wholesale price improves, that is a change to the derivation method, not to the term sheet.</t>
  </si>
  <si>
    <t xml:space="preserve">Solver ladder</t>
  </si>
  <si>
    <t xml:space="preserve">Card rate</t>
  </si>
  <si>
    <t xml:space="preserve">Wholesale</t>
  </si>
  <si>
    <t xml:space="preserve">Forecast, Launch Year</t>
  </si>
  <si>
    <t xml:space="preserve">Plan mix starts fully on pay as you go because nothing is contracted at launch, and interpolates linearly to the month 12 mix.</t>
  </si>
  <si>
    <t xml:space="preserve">Year total</t>
  </si>
  <si>
    <t xml:space="preserve">Volume, 1M tokens</t>
  </si>
  <si>
    <t xml:space="preserve">Customers</t>
  </si>
  <si>
    <t xml:space="preserve">Share, pay as you go</t>
  </si>
  <si>
    <t xml:space="preserve">Share, commit monthly</t>
  </si>
  <si>
    <t xml:space="preserve">Share, commit annual</t>
  </si>
  <si>
    <t xml:space="preserve">Revenue</t>
  </si>
  <si>
    <t xml:space="preserve">Fixed cost</t>
  </si>
  <si>
    <t xml:space="preserve">Operating profit</t>
  </si>
  <si>
    <t xml:space="preserve">Cumulative operating profit</t>
  </si>
  <si>
    <t xml:space="preserve">Revenue under contract</t>
  </si>
  <si>
    <t xml:space="preserve">Contracted share of revenue</t>
  </si>
  <si>
    <t xml:space="preserve">Breakeven</t>
  </si>
  <si>
    <t xml:space="preserve">Breakeven volume, 1M tokens a month</t>
  </si>
  <si>
    <t xml:space="preserve">Computed at the month 12 realized rate.</t>
  </si>
  <si>
    <t xml:space="preserve">Month 12 volume against breakeven</t>
  </si>
  <si>
    <t xml:space="preserve">First profitable month</t>
  </si>
  <si>
    <t xml:space="preserve">The launch year still closes at a loss because the early months sit below the line.</t>
  </si>
  <si>
    <t xml:space="preserve">Forecast, Three Year</t>
  </si>
  <si>
    <t xml:space="preserve">Card rate and wholesale cost both deflate together, so gross margin percentage holds while dollars per token fall.</t>
  </si>
  <si>
    <t xml:space="preserve">Year 1</t>
  </si>
  <si>
    <t xml:space="preserve">Year 2</t>
  </si>
  <si>
    <t xml:space="preserve">Year 3</t>
  </si>
  <si>
    <t xml:space="preserve">Year 1 is the blended rate realized across the launch year. Year 2 starts from the month 12 rate, since the plan mix has matured by then.</t>
  </si>
  <si>
    <t xml:space="preserve">Deflates with the card, so margin percentage holds.</t>
  </si>
  <si>
    <t xml:space="preserve">Turns positive during year 3.</t>
  </si>
  <si>
    <t xml:space="preserve">Year 2 and 3 shares are inputs. Contracted book matures as commit deals renew.</t>
  </si>
  <si>
    <t xml:space="preserve">Falls every year even though margin percentage holds, because the price of a token is falling.</t>
  </si>
  <si>
    <t xml:space="preserve">Volume has to grow faster than price deflates for gross profit dollars to rise.</t>
  </si>
  <si>
    <t xml:space="preserve">Worked Example</t>
  </si>
  <si>
    <t xml:space="preserve">One model, one customer, the same consumption priced 3 ways. Only the billing treatment changes.</t>
  </si>
  <si>
    <t xml:space="preserve">Setup</t>
  </si>
  <si>
    <t xml:space="preserve">Model</t>
  </si>
  <si>
    <t xml:space="preserve">Card rate, input $/1M</t>
  </si>
  <si>
    <t xml:space="preserve">Card rate, cached $/1M</t>
  </si>
  <si>
    <t xml:space="preserve">Card rate, output $/1M</t>
  </si>
  <si>
    <t xml:space="preserve">Blended card rate $/1M</t>
  </si>
  <si>
    <t xml:space="preserve">Annual volume, 1M tokens</t>
  </si>
  <si>
    <t xml:space="preserve">Annual list value</t>
  </si>
  <si>
    <t xml:space="preserve">List usage that fills the monthly minimum</t>
  </si>
  <si>
    <t xml:space="preserve">Case A, even usage of 110,000 1M tokens a month</t>
  </si>
  <si>
    <t xml:space="preserve">Paid for the year</t>
  </si>
  <si>
    <t xml:space="preserve">Saved vs pay as you go</t>
  </si>
  <si>
    <t xml:space="preserve">Effective discount</t>
  </si>
  <si>
    <t xml:space="preserve">Monthly list usage</t>
  </si>
  <si>
    <t xml:space="preserve">The monthly plan does not deliver its stated discount. List usage above the minimum is billed at the full card rate.</t>
  </si>
  <si>
    <t xml:space="preserve">Case B, the same annual volume delivered unevenly</t>
  </si>
  <si>
    <t xml:space="preserve">6 months at 55,000 and 6 months at 165,000 1M tokens.</t>
  </si>
  <si>
    <t xml:space="preserve">Month type</t>
  </si>
  <si>
    <t xml:space="preserve">List value</t>
  </si>
  <si>
    <t xml:space="preserve">Pay as you go pays</t>
  </si>
  <si>
    <t xml:space="preserve">Commit monthly pays</t>
  </si>
  <si>
    <t xml:space="preserve">Commit annual pays</t>
  </si>
  <si>
    <t xml:space="preserve">Light month, 6 of them</t>
  </si>
  <si>
    <t xml:space="preserve">Heavy month, 6 of them</t>
  </si>
  <si>
    <t xml:space="preserve">The annual customer is unaffected by the pattern. Usage accumulates across the term and there is no overage rate inside it.</t>
  </si>
  <si>
    <t xml:space="preserve">A monthly commit is only worth signing when the lightest month a customer expects still clears the minimum. Size the tier against the trough month, not the average.</t>
  </si>
</sst>
</file>

<file path=xl/styles.xml><?xml version="1.0" encoding="utf-8"?>
<styleSheet xmlns="http://schemas.openxmlformats.org/spreadsheetml/2006/main">
  <numFmts count="10">
    <numFmt numFmtId="164" formatCode="General"/>
    <numFmt numFmtId="165" formatCode="0.0%"/>
    <numFmt numFmtId="166" formatCode="\$#,##0.0000;&quot;($&quot;#,##0.0000\);\-"/>
    <numFmt numFmtId="167" formatCode="0.00"/>
    <numFmt numFmtId="168" formatCode="\$#,##0;&quot;($&quot;#,##0\);\-"/>
    <numFmt numFmtId="169" formatCode="#,##0;\(#,##0\);\-"/>
    <numFmt numFmtId="170" formatCode="0.00\x"/>
    <numFmt numFmtId="171" formatCode="0.000\x"/>
    <numFmt numFmtId="172" formatCode="0.0"/>
    <numFmt numFmtId="173" formatCode="\+0.00;\-0.00;0.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sz val="10"/>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71" fontId="12"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1" fontId="7"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73" fontId="9" fillId="2" borderId="1" xfId="0" applyFont="true" applyBorder="true" applyAlignment="true" applyProtection="false">
      <alignment horizontal="center" vertical="bottom" textRotation="0" wrapText="false" indent="0" shrinkToFit="false"/>
      <protection locked="true" hidden="false"/>
    </xf>
    <xf numFmtId="165" fontId="9" fillId="2"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8" customFormat="false" ht="15" hidden="false" customHeight="false" outlineLevel="0" collapsed="false">
      <c r="A8" s="4" t="s">
        <v>9</v>
      </c>
      <c r="B8" s="5" t="s">
        <v>10</v>
      </c>
    </row>
    <row r="10" customFormat="false" ht="15" hidden="false" customHeight="false" outlineLevel="0" collapsed="false">
      <c r="A10" s="3" t="s">
        <v>11</v>
      </c>
    </row>
    <row r="11" customFormat="false" ht="15" hidden="false" customHeight="false" outlineLevel="0" collapsed="false">
      <c r="A11" s="4" t="s">
        <v>12</v>
      </c>
      <c r="B11" s="5" t="s">
        <v>13</v>
      </c>
    </row>
    <row r="12" customFormat="false" ht="15" hidden="false" customHeight="false" outlineLevel="0" collapsed="false">
      <c r="A12" s="4" t="s">
        <v>14</v>
      </c>
      <c r="B12" s="5" t="s">
        <v>15</v>
      </c>
    </row>
    <row r="13" customFormat="false" ht="15" hidden="false" customHeight="false" outlineLevel="0" collapsed="false">
      <c r="A13" s="4" t="s">
        <v>16</v>
      </c>
      <c r="B13" s="5" t="s">
        <v>17</v>
      </c>
    </row>
    <row r="14" customFormat="false" ht="15" hidden="false" customHeight="false" outlineLevel="0" collapsed="false">
      <c r="A14" s="4" t="s">
        <v>18</v>
      </c>
      <c r="B14" s="5" t="s">
        <v>19</v>
      </c>
    </row>
    <row r="15" customFormat="false" ht="15" hidden="false" customHeight="false" outlineLevel="0" collapsed="false">
      <c r="A15" s="4" t="s">
        <v>20</v>
      </c>
      <c r="B15" s="5" t="s">
        <v>21</v>
      </c>
    </row>
    <row r="16" customFormat="false" ht="15" hidden="false" customHeight="false" outlineLevel="0" collapsed="false">
      <c r="A16" s="4" t="s">
        <v>22</v>
      </c>
      <c r="B16" s="5" t="s">
        <v>23</v>
      </c>
    </row>
    <row r="17" customFormat="false" ht="15" hidden="false" customHeight="false" outlineLevel="0" collapsed="false">
      <c r="A17" s="4" t="s">
        <v>24</v>
      </c>
      <c r="B17" s="5" t="s">
        <v>25</v>
      </c>
    </row>
    <row r="18" customFormat="false" ht="15" hidden="false" customHeight="false" outlineLevel="0" collapsed="false">
      <c r="A18" s="4" t="s">
        <v>26</v>
      </c>
      <c r="B18" s="5" t="s">
        <v>27</v>
      </c>
    </row>
    <row r="19" customFormat="false" ht="15" hidden="false" customHeight="false" outlineLevel="0" collapsed="false">
      <c r="A19" s="4" t="s">
        <v>28</v>
      </c>
      <c r="B19" s="5" t="s">
        <v>29</v>
      </c>
    </row>
    <row r="20" customFormat="false" ht="15" hidden="false" customHeight="false" outlineLevel="0" collapsed="false">
      <c r="A20" s="4" t="s">
        <v>30</v>
      </c>
      <c r="B20" s="5" t="s">
        <v>31</v>
      </c>
    </row>
    <row r="23" customFormat="false" ht="15" hidden="false" customHeight="false" outlineLevel="0" collapsed="false">
      <c r="A23" s="3" t="s">
        <v>32</v>
      </c>
    </row>
    <row r="24" customFormat="false" ht="15" hidden="false" customHeight="false" outlineLevel="0" collapsed="false">
      <c r="A24" s="4" t="s">
        <v>33</v>
      </c>
      <c r="B24" s="5" t="s">
        <v>34</v>
      </c>
    </row>
    <row r="25" customFormat="false" ht="15" hidden="false" customHeight="false" outlineLevel="0" collapsed="false">
      <c r="A25" s="4" t="s">
        <v>35</v>
      </c>
      <c r="B25" s="5" t="s">
        <v>36</v>
      </c>
    </row>
    <row r="26" customFormat="false" ht="15" hidden="false" customHeight="false" outlineLevel="0" collapsed="false">
      <c r="A26" s="4" t="s">
        <v>37</v>
      </c>
      <c r="B26" s="5" t="s">
        <v>38</v>
      </c>
    </row>
    <row r="27" customFormat="false" ht="15" hidden="false" customHeight="false" outlineLevel="0" collapsed="false">
      <c r="A27" s="4" t="s">
        <v>39</v>
      </c>
      <c r="B27" s="5" t="s">
        <v>40</v>
      </c>
    </row>
    <row r="28" customFormat="false" ht="15" hidden="false" customHeight="false" outlineLevel="0" collapsed="false">
      <c r="A28" s="4" t="s">
        <v>41</v>
      </c>
      <c r="B28" s="5" t="s">
        <v>42</v>
      </c>
    </row>
    <row r="30" customFormat="false" ht="15" hidden="false" customHeight="false" outlineLevel="0" collapsed="false">
      <c r="A30" s="3" t="s">
        <v>43</v>
      </c>
    </row>
    <row r="31" customFormat="false" ht="15" hidden="false" customHeight="false" outlineLevel="0" collapsed="false">
      <c r="A31" s="4" t="s">
        <v>44</v>
      </c>
      <c r="B31" s="5" t="s">
        <v>45</v>
      </c>
    </row>
    <row r="32" customFormat="false" ht="15" hidden="false" customHeight="false" outlineLevel="0" collapsed="false">
      <c r="A32" s="4" t="s">
        <v>46</v>
      </c>
      <c r="B32" s="5" t="s">
        <v>47</v>
      </c>
    </row>
    <row r="33" customFormat="false" ht="15" hidden="false" customHeight="false" outlineLevel="0" collapsed="false">
      <c r="A33" s="4" t="s">
        <v>48</v>
      </c>
      <c r="B33" s="5" t="s">
        <v>49</v>
      </c>
    </row>
    <row r="34" customFormat="false" ht="15" hidden="false" customHeight="false" outlineLevel="0" collapsed="false">
      <c r="A34" s="4" t="s">
        <v>50</v>
      </c>
      <c r="B34" s="5" t="s">
        <v>51</v>
      </c>
    </row>
    <row r="35" customFormat="false" ht="15" hidden="false" customHeight="false" outlineLevel="0" collapsed="false">
      <c r="A35" s="4" t="s">
        <v>52</v>
      </c>
      <c r="B35" s="5" t="s">
        <v>53</v>
      </c>
    </row>
    <row r="37" customFormat="false" ht="15" hidden="false" customHeight="false" outlineLevel="0" collapsed="false">
      <c r="A37" s="3" t="s">
        <v>54</v>
      </c>
    </row>
    <row r="38" customFormat="false" ht="15" hidden="false" customHeight="false" outlineLevel="0" collapsed="false">
      <c r="A38" s="4" t="s">
        <v>55</v>
      </c>
      <c r="B38" s="5" t="s">
        <v>56</v>
      </c>
    </row>
    <row r="39" customFormat="false" ht="15" hidden="false" customHeight="false" outlineLevel="0" collapsed="false">
      <c r="A39" s="4" t="s">
        <v>57</v>
      </c>
      <c r="B39" s="5" t="s">
        <v>58</v>
      </c>
    </row>
    <row r="40" customFormat="false" ht="15" hidden="false" customHeight="false" outlineLevel="0" collapsed="false">
      <c r="A40" s="4" t="s">
        <v>59</v>
      </c>
      <c r="B40" s="5" t="s">
        <v>60</v>
      </c>
    </row>
    <row r="41" customFormat="false" ht="15" hidden="false" customHeight="false" outlineLevel="0" collapsed="false">
      <c r="A41" s="4" t="s">
        <v>61</v>
      </c>
      <c r="B41" s="5" t="s">
        <v>62</v>
      </c>
    </row>
    <row r="42" customFormat="false" ht="15" hidden="false" customHeight="false" outlineLevel="0" collapsed="false">
      <c r="A42" s="4" t="s">
        <v>63</v>
      </c>
      <c r="B42" s="5" t="s">
        <v>64</v>
      </c>
    </row>
    <row r="44" customFormat="false" ht="15" hidden="false" customHeight="false" outlineLevel="0" collapsed="false">
      <c r="A44" s="3" t="s">
        <v>65</v>
      </c>
    </row>
    <row r="45" customFormat="false" ht="15" hidden="false" customHeight="false" outlineLevel="0" collapsed="false">
      <c r="A45" s="4" t="s">
        <v>66</v>
      </c>
      <c r="B45" s="5" t="s">
        <v>67</v>
      </c>
    </row>
    <row r="46" customFormat="false" ht="15" hidden="false" customHeight="false" outlineLevel="0" collapsed="false">
      <c r="A46" s="4" t="s">
        <v>68</v>
      </c>
      <c r="B46" s="5" t="s">
        <v>69</v>
      </c>
    </row>
    <row r="47" customFormat="false" ht="15" hidden="false" customHeight="false" outlineLevel="0" collapsed="false">
      <c r="A47" s="4" t="s">
        <v>70</v>
      </c>
      <c r="B47" s="5"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5" min="2" style="0" width="14"/>
    <col collapsed="false" customWidth="true" hidden="false" outlineLevel="0" max="6" min="6" style="0" width="60"/>
  </cols>
  <sheetData>
    <row r="1" customFormat="false" ht="17.35" hidden="false" customHeight="false" outlineLevel="0" collapsed="false">
      <c r="A1" s="1" t="s">
        <v>20</v>
      </c>
    </row>
    <row r="2" customFormat="false" ht="15" hidden="false" customHeight="false" outlineLevel="0" collapsed="false">
      <c r="A2" s="2" t="s">
        <v>72</v>
      </c>
    </row>
    <row r="4" customFormat="false" ht="15" hidden="false" customHeight="false" outlineLevel="0" collapsed="false">
      <c r="A4" s="3" t="s">
        <v>73</v>
      </c>
    </row>
    <row r="5" customFormat="false" ht="15" hidden="false" customHeight="false" outlineLevel="0" collapsed="false">
      <c r="A5" s="6" t="s">
        <v>74</v>
      </c>
      <c r="B5" s="6" t="s">
        <v>75</v>
      </c>
      <c r="C5" s="6"/>
      <c r="D5" s="6"/>
      <c r="E5" s="6"/>
      <c r="F5" s="6" t="s">
        <v>76</v>
      </c>
    </row>
    <row r="6" customFormat="false" ht="15" hidden="false" customHeight="false" outlineLevel="0" collapsed="false">
      <c r="A6" s="5" t="s">
        <v>77</v>
      </c>
      <c r="B6" s="7" t="n">
        <v>0.3</v>
      </c>
      <c r="F6" s="8" t="s">
        <v>78</v>
      </c>
    </row>
    <row r="7" customFormat="false" ht="15" hidden="false" customHeight="false" outlineLevel="0" collapsed="false">
      <c r="A7" s="5" t="s">
        <v>79</v>
      </c>
      <c r="B7" s="7" t="n">
        <v>0.45</v>
      </c>
      <c r="F7" s="8" t="s">
        <v>80</v>
      </c>
    </row>
    <row r="8" customFormat="false" ht="15" hidden="false" customHeight="false" outlineLevel="0" collapsed="false">
      <c r="A8" s="5" t="s">
        <v>81</v>
      </c>
      <c r="B8" s="7" t="n">
        <v>0.6</v>
      </c>
      <c r="F8" s="8" t="s">
        <v>82</v>
      </c>
    </row>
    <row r="9" customFormat="false" ht="15" hidden="false" customHeight="false" outlineLevel="0" collapsed="false">
      <c r="A9" s="5" t="s">
        <v>83</v>
      </c>
      <c r="B9" s="9" t="n">
        <v>0.2</v>
      </c>
      <c r="F9" s="8" t="s">
        <v>84</v>
      </c>
    </row>
    <row r="10" customFormat="false" ht="15" hidden="false" customHeight="false" outlineLevel="0" collapsed="false">
      <c r="A10" s="5" t="s">
        <v>85</v>
      </c>
      <c r="B10" s="9" t="n">
        <v>0.2</v>
      </c>
      <c r="F10" s="8" t="s">
        <v>86</v>
      </c>
    </row>
    <row r="11" customFormat="false" ht="15" hidden="false" customHeight="false" outlineLevel="0" collapsed="false">
      <c r="A11" s="4" t="s">
        <v>87</v>
      </c>
      <c r="B11" s="10" t="n">
        <f aca="false">B8+B9+B10</f>
        <v>1</v>
      </c>
    </row>
    <row r="13" customFormat="false" ht="15" hidden="false" customHeight="false" outlineLevel="0" collapsed="false">
      <c r="A13" s="3" t="s">
        <v>88</v>
      </c>
    </row>
    <row r="14" customFormat="false" ht="23.85" hidden="false" customHeight="false" outlineLevel="0" collapsed="false">
      <c r="A14" s="6" t="s">
        <v>89</v>
      </c>
      <c r="B14" s="6" t="s">
        <v>90</v>
      </c>
      <c r="C14" s="6" t="s">
        <v>48</v>
      </c>
      <c r="D14" s="6" t="s">
        <v>50</v>
      </c>
      <c r="E14" s="6"/>
      <c r="F14" s="6" t="s">
        <v>76</v>
      </c>
    </row>
    <row r="15" customFormat="false" ht="15" hidden="false" customHeight="false" outlineLevel="0" collapsed="false">
      <c r="A15" s="11" t="s">
        <v>91</v>
      </c>
      <c r="B15" s="12" t="n">
        <v>0.4</v>
      </c>
      <c r="C15" s="13" t="n">
        <v>0.4</v>
      </c>
      <c r="D15" s="7" t="n">
        <v>0.55</v>
      </c>
      <c r="F15" s="8" t="s">
        <v>92</v>
      </c>
    </row>
    <row r="16" customFormat="false" ht="15" hidden="false" customHeight="false" outlineLevel="0" collapsed="false">
      <c r="A16" s="11" t="s">
        <v>93</v>
      </c>
      <c r="B16" s="12" t="n">
        <v>1</v>
      </c>
      <c r="C16" s="13" t="n">
        <v>0.5</v>
      </c>
      <c r="D16" s="7" t="n">
        <v>0.25</v>
      </c>
      <c r="F16" s="8" t="s">
        <v>94</v>
      </c>
    </row>
    <row r="17" customFormat="false" ht="15" hidden="false" customHeight="false" outlineLevel="0" collapsed="false">
      <c r="A17" s="11" t="s">
        <v>95</v>
      </c>
      <c r="B17" s="12" t="n">
        <v>1.6</v>
      </c>
      <c r="C17" s="13" t="n">
        <v>0.55</v>
      </c>
      <c r="D17" s="7" t="n">
        <v>0.12</v>
      </c>
    </row>
    <row r="18" customFormat="false" ht="15" hidden="false" customHeight="false" outlineLevel="0" collapsed="false">
      <c r="A18" s="11" t="s">
        <v>96</v>
      </c>
      <c r="B18" s="14" t="s">
        <v>97</v>
      </c>
      <c r="C18" s="13" t="n">
        <v>0.6</v>
      </c>
      <c r="D18" s="7" t="n">
        <v>0.08</v>
      </c>
    </row>
    <row r="19" customFormat="false" ht="15" hidden="false" customHeight="false" outlineLevel="0" collapsed="false">
      <c r="A19" s="4" t="s">
        <v>98</v>
      </c>
      <c r="B19" s="10" t="n">
        <f aca="false">SUM(D15:D18)</f>
        <v>1</v>
      </c>
    </row>
    <row r="21" customFormat="false" ht="15" hidden="false" customHeight="false" outlineLevel="0" collapsed="false">
      <c r="A21" s="3" t="s">
        <v>99</v>
      </c>
    </row>
    <row r="22" customFormat="false" ht="23.85" hidden="false" customHeight="false" outlineLevel="0" collapsed="false">
      <c r="A22" s="6" t="s">
        <v>100</v>
      </c>
      <c r="B22" s="6" t="s">
        <v>101</v>
      </c>
      <c r="C22" s="6" t="s">
        <v>102</v>
      </c>
      <c r="D22" s="6" t="s">
        <v>103</v>
      </c>
      <c r="E22" s="6" t="s">
        <v>104</v>
      </c>
    </row>
    <row r="23" customFormat="false" ht="15" hidden="false" customHeight="false" outlineLevel="0" collapsed="false">
      <c r="A23" s="11" t="s">
        <v>105</v>
      </c>
      <c r="B23" s="15" t="n">
        <v>50000</v>
      </c>
      <c r="C23" s="16" t="n">
        <f aca="false">B23/12</f>
        <v>4166.66666666667</v>
      </c>
      <c r="D23" s="9" t="n">
        <v>0.05</v>
      </c>
      <c r="E23" s="9" t="n">
        <v>0.08</v>
      </c>
    </row>
    <row r="24" customFormat="false" ht="15" hidden="false" customHeight="false" outlineLevel="0" collapsed="false">
      <c r="A24" s="11" t="s">
        <v>106</v>
      </c>
      <c r="B24" s="15" t="n">
        <v>250000</v>
      </c>
      <c r="C24" s="16" t="n">
        <f aca="false">B24/12</f>
        <v>20833.3333333333</v>
      </c>
      <c r="D24" s="9" t="n">
        <v>0.08</v>
      </c>
      <c r="E24" s="9" t="n">
        <v>0.11</v>
      </c>
    </row>
    <row r="25" customFormat="false" ht="15" hidden="false" customHeight="false" outlineLevel="0" collapsed="false">
      <c r="A25" s="11" t="s">
        <v>107</v>
      </c>
      <c r="B25" s="15" t="n">
        <v>1000000</v>
      </c>
      <c r="C25" s="16" t="n">
        <f aca="false">B25/12</f>
        <v>83333.3333333333</v>
      </c>
      <c r="D25" s="9" t="n">
        <v>0.12</v>
      </c>
      <c r="E25" s="9" t="n">
        <v>0.15</v>
      </c>
    </row>
    <row r="26" customFormat="false" ht="15" hidden="false" customHeight="false" outlineLevel="0" collapsed="false">
      <c r="A26" s="11" t="s">
        <v>108</v>
      </c>
      <c r="B26" s="15" t="n">
        <v>5000000</v>
      </c>
      <c r="C26" s="16" t="n">
        <f aca="false">B26/12</f>
        <v>416666.666666667</v>
      </c>
      <c r="D26" s="9" t="n">
        <v>0.17</v>
      </c>
      <c r="E26" s="9" t="n">
        <v>0.2</v>
      </c>
    </row>
    <row r="28" customFormat="false" ht="15" hidden="false" customHeight="false" outlineLevel="0" collapsed="false">
      <c r="A28" s="3" t="s">
        <v>109</v>
      </c>
    </row>
    <row r="29" customFormat="false" ht="15" hidden="false" customHeight="false" outlineLevel="0" collapsed="false">
      <c r="A29" s="6" t="s">
        <v>100</v>
      </c>
      <c r="B29" s="6" t="s">
        <v>110</v>
      </c>
      <c r="C29" s="6" t="s">
        <v>111</v>
      </c>
    </row>
    <row r="30" customFormat="false" ht="15" hidden="false" customHeight="false" outlineLevel="0" collapsed="false">
      <c r="A30" s="11" t="s">
        <v>105</v>
      </c>
      <c r="B30" s="9" t="n">
        <v>0.65</v>
      </c>
      <c r="C30" s="9" t="n">
        <v>0.35</v>
      </c>
    </row>
    <row r="31" customFormat="false" ht="15" hidden="false" customHeight="false" outlineLevel="0" collapsed="false">
      <c r="A31" s="11" t="s">
        <v>106</v>
      </c>
      <c r="B31" s="9" t="n">
        <v>0.27</v>
      </c>
      <c r="C31" s="9" t="n">
        <v>0.4</v>
      </c>
    </row>
    <row r="32" customFormat="false" ht="15" hidden="false" customHeight="false" outlineLevel="0" collapsed="false">
      <c r="A32" s="11" t="s">
        <v>107</v>
      </c>
      <c r="B32" s="9" t="n">
        <v>0.06</v>
      </c>
      <c r="C32" s="9" t="n">
        <v>0.22</v>
      </c>
    </row>
    <row r="33" customFormat="false" ht="15" hidden="false" customHeight="false" outlineLevel="0" collapsed="false">
      <c r="A33" s="11" t="s">
        <v>108</v>
      </c>
      <c r="B33" s="9" t="n">
        <v>0.02</v>
      </c>
      <c r="C33" s="9" t="n">
        <v>0.03</v>
      </c>
    </row>
    <row r="34" customFormat="false" ht="15" hidden="false" customHeight="false" outlineLevel="0" collapsed="false">
      <c r="A34" s="4" t="s">
        <v>112</v>
      </c>
      <c r="B34" s="10" t="n">
        <f aca="false">SUM(B30:B33)</f>
        <v>1</v>
      </c>
      <c r="C34" s="10" t="n">
        <f aca="false">SUM(C30:C33)</f>
        <v>1</v>
      </c>
    </row>
    <row r="36" customFormat="false" ht="15" hidden="false" customHeight="false" outlineLevel="0" collapsed="false">
      <c r="A36" s="3" t="s">
        <v>113</v>
      </c>
    </row>
    <row r="37" customFormat="false" ht="23.85" hidden="false" customHeight="false" outlineLevel="0" collapsed="false">
      <c r="A37" s="6" t="s">
        <v>74</v>
      </c>
      <c r="B37" s="6" t="s">
        <v>114</v>
      </c>
      <c r="C37" s="6" t="s">
        <v>115</v>
      </c>
      <c r="D37" s="6"/>
      <c r="E37" s="6"/>
      <c r="F37" s="6" t="s">
        <v>76</v>
      </c>
    </row>
    <row r="38" customFormat="false" ht="15" hidden="false" customHeight="false" outlineLevel="0" collapsed="false">
      <c r="A38" s="5" t="s">
        <v>116</v>
      </c>
      <c r="B38" s="9" t="n">
        <v>0.88</v>
      </c>
      <c r="C38" s="9" t="n">
        <v>1</v>
      </c>
      <c r="F38" s="8" t="s">
        <v>117</v>
      </c>
    </row>
    <row r="39" customFormat="false" ht="15" hidden="false" customHeight="false" outlineLevel="0" collapsed="false">
      <c r="A39" s="5" t="s">
        <v>118</v>
      </c>
      <c r="B39" s="9" t="n">
        <v>0.06</v>
      </c>
      <c r="C39" s="9" t="n">
        <v>0.01</v>
      </c>
      <c r="F39" s="8" t="s">
        <v>119</v>
      </c>
    </row>
    <row r="41" customFormat="false" ht="15" hidden="false" customHeight="false" outlineLevel="0" collapsed="false">
      <c r="A41" s="3" t="s">
        <v>120</v>
      </c>
    </row>
    <row r="42" customFormat="false" ht="15" hidden="false" customHeight="false" outlineLevel="0" collapsed="false">
      <c r="A42" s="6" t="s">
        <v>121</v>
      </c>
      <c r="B42" s="6" t="s">
        <v>122</v>
      </c>
    </row>
    <row r="43" customFormat="false" ht="15" hidden="false" customHeight="false" outlineLevel="0" collapsed="false">
      <c r="A43" s="11" t="s">
        <v>123</v>
      </c>
      <c r="B43" s="7" t="n">
        <v>0.3</v>
      </c>
      <c r="F43" s="8" t="s">
        <v>124</v>
      </c>
    </row>
    <row r="44" customFormat="false" ht="15" hidden="false" customHeight="false" outlineLevel="0" collapsed="false">
      <c r="A44" s="11" t="s">
        <v>114</v>
      </c>
      <c r="B44" s="7" t="n">
        <v>0.25</v>
      </c>
    </row>
    <row r="45" customFormat="false" ht="15" hidden="false" customHeight="false" outlineLevel="0" collapsed="false">
      <c r="A45" s="11" t="s">
        <v>115</v>
      </c>
      <c r="B45" s="7" t="n">
        <v>0.45</v>
      </c>
    </row>
    <row r="46" customFormat="false" ht="15" hidden="false" customHeight="false" outlineLevel="0" collapsed="false">
      <c r="A46" s="4" t="s">
        <v>125</v>
      </c>
      <c r="B46" s="10" t="n">
        <f aca="false">SUM(B43:B45)</f>
        <v>1</v>
      </c>
    </row>
    <row r="48" customFormat="false" ht="15" hidden="false" customHeight="false" outlineLevel="0" collapsed="false">
      <c r="A48" s="3" t="s">
        <v>126</v>
      </c>
    </row>
    <row r="49" customFormat="false" ht="15" hidden="false" customHeight="false" outlineLevel="0" collapsed="false">
      <c r="A49" s="6" t="s">
        <v>74</v>
      </c>
      <c r="B49" s="6" t="s">
        <v>75</v>
      </c>
    </row>
    <row r="50" customFormat="false" ht="15" hidden="false" customHeight="false" outlineLevel="0" collapsed="false">
      <c r="A50" s="5" t="s">
        <v>127</v>
      </c>
      <c r="B50" s="7" t="n">
        <v>0.2</v>
      </c>
    </row>
    <row r="51" customFormat="false" ht="15" hidden="false" customHeight="false" outlineLevel="0" collapsed="false">
      <c r="A51" s="5" t="s">
        <v>128</v>
      </c>
      <c r="B51" s="7" t="n">
        <v>0.15</v>
      </c>
    </row>
    <row r="53" customFormat="false" ht="15" hidden="false" customHeight="false" outlineLevel="0" collapsed="false">
      <c r="A53" s="3" t="s">
        <v>129</v>
      </c>
    </row>
    <row r="54" customFormat="false" ht="15" hidden="false" customHeight="false" outlineLevel="0" collapsed="false">
      <c r="A54" s="6" t="s">
        <v>74</v>
      </c>
      <c r="B54" s="6" t="s">
        <v>75</v>
      </c>
      <c r="C54" s="6"/>
      <c r="D54" s="6"/>
      <c r="E54" s="6"/>
      <c r="F54" s="6" t="s">
        <v>76</v>
      </c>
    </row>
    <row r="55" customFormat="false" ht="15" hidden="false" customHeight="false" outlineLevel="0" collapsed="false">
      <c r="A55" s="5" t="s">
        <v>130</v>
      </c>
      <c r="B55" s="17" t="n">
        <v>60000</v>
      </c>
      <c r="F55" s="8" t="s">
        <v>131</v>
      </c>
    </row>
    <row r="56" customFormat="false" ht="15" hidden="false" customHeight="false" outlineLevel="0" collapsed="false">
      <c r="A56" s="5" t="s">
        <v>132</v>
      </c>
      <c r="B56" s="7" t="n">
        <v>0.22</v>
      </c>
      <c r="F56" s="8" t="s">
        <v>133</v>
      </c>
    </row>
    <row r="57" customFormat="false" ht="15" hidden="false" customHeight="false" outlineLevel="0" collapsed="false">
      <c r="A57" s="5" t="s">
        <v>134</v>
      </c>
      <c r="B57" s="17" t="n">
        <v>15</v>
      </c>
      <c r="F57" s="8" t="s">
        <v>131</v>
      </c>
    </row>
    <row r="58" customFormat="false" ht="15" hidden="false" customHeight="false" outlineLevel="0" collapsed="false">
      <c r="A58" s="5" t="s">
        <v>135</v>
      </c>
      <c r="B58" s="7" t="n">
        <v>0.12</v>
      </c>
      <c r="F58" s="8"/>
    </row>
    <row r="59" customFormat="false" ht="15" hidden="false" customHeight="false" outlineLevel="0" collapsed="false">
      <c r="A59" s="5" t="s">
        <v>136</v>
      </c>
      <c r="B59" s="18" t="n">
        <v>75000</v>
      </c>
      <c r="F59" s="8" t="s">
        <v>137</v>
      </c>
    </row>
    <row r="60" customFormat="false" ht="15" hidden="false" customHeight="false" outlineLevel="0" collapsed="false">
      <c r="A60" s="5" t="s">
        <v>138</v>
      </c>
      <c r="B60" s="13" t="n">
        <v>2.75</v>
      </c>
      <c r="F60" s="8" t="s">
        <v>139</v>
      </c>
    </row>
    <row r="62" customFormat="false" ht="15" hidden="false" customHeight="false" outlineLevel="0" collapsed="false">
      <c r="A62" s="3" t="s">
        <v>140</v>
      </c>
    </row>
    <row r="63" customFormat="false" ht="15" hidden="false" customHeight="false" outlineLevel="0" collapsed="false">
      <c r="A63" s="6" t="s">
        <v>74</v>
      </c>
      <c r="B63" s="6" t="s">
        <v>75</v>
      </c>
      <c r="C63" s="6"/>
      <c r="D63" s="6"/>
      <c r="E63" s="6"/>
      <c r="F63" s="6" t="s">
        <v>76</v>
      </c>
    </row>
    <row r="64" customFormat="false" ht="15" hidden="false" customHeight="false" outlineLevel="0" collapsed="false">
      <c r="A64" s="5" t="s">
        <v>141</v>
      </c>
      <c r="B64" s="7" t="n">
        <v>0.15</v>
      </c>
      <c r="F64" s="8" t="s">
        <v>142</v>
      </c>
    </row>
    <row r="65" customFormat="false" ht="15" hidden="false" customHeight="false" outlineLevel="0" collapsed="false">
      <c r="A65" s="5" t="s">
        <v>143</v>
      </c>
      <c r="B65" s="7" t="n">
        <v>0.03</v>
      </c>
      <c r="F65" s="8"/>
    </row>
    <row r="66" customFormat="false" ht="15" hidden="false" customHeight="false" outlineLevel="0" collapsed="false">
      <c r="A66" s="5" t="s">
        <v>144</v>
      </c>
      <c r="B66" s="7" t="n">
        <v>1.2</v>
      </c>
      <c r="F66" s="8"/>
    </row>
    <row r="67" customFormat="false" ht="15" hidden="false" customHeight="false" outlineLevel="0" collapsed="false">
      <c r="A67" s="5" t="s">
        <v>145</v>
      </c>
      <c r="B67" s="7" t="n">
        <v>0.8</v>
      </c>
      <c r="F6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7"/>
    <col collapsed="false" customWidth="true" hidden="false" outlineLevel="0" max="4" min="4" style="0" width="9"/>
    <col collapsed="false" customWidth="true" hidden="false" outlineLevel="0" max="21" min="5" style="0" width="11"/>
  </cols>
  <sheetData>
    <row r="1" customFormat="false" ht="17.35" hidden="false" customHeight="false" outlineLevel="0" collapsed="false">
      <c r="A1" s="1" t="s">
        <v>146</v>
      </c>
    </row>
    <row r="2" customFormat="false" ht="15" hidden="false" customHeight="false" outlineLevel="0" collapsed="false">
      <c r="A2" s="2" t="s">
        <v>147</v>
      </c>
    </row>
    <row r="3" customFormat="false" ht="15" hidden="false" customHeight="false" outlineLevel="0" collapsed="false">
      <c r="A3" s="8" t="s">
        <v>148</v>
      </c>
    </row>
    <row r="6" customFormat="false" ht="23.85" hidden="false" customHeight="false" outlineLevel="0" collapsed="false">
      <c r="A6" s="6" t="s">
        <v>149</v>
      </c>
      <c r="B6" s="6" t="s">
        <v>150</v>
      </c>
      <c r="C6" s="6" t="s">
        <v>89</v>
      </c>
      <c r="D6" s="6" t="s">
        <v>48</v>
      </c>
      <c r="E6" s="6" t="s">
        <v>151</v>
      </c>
      <c r="F6" s="6" t="s">
        <v>152</v>
      </c>
      <c r="G6" s="6" t="s">
        <v>153</v>
      </c>
      <c r="H6" s="6" t="s">
        <v>154</v>
      </c>
      <c r="I6" s="6" t="s">
        <v>155</v>
      </c>
      <c r="J6" s="6" t="s">
        <v>156</v>
      </c>
      <c r="K6" s="6" t="s">
        <v>157</v>
      </c>
      <c r="L6" s="6" t="s">
        <v>158</v>
      </c>
      <c r="M6" s="6" t="s">
        <v>159</v>
      </c>
      <c r="N6" s="6" t="s">
        <v>160</v>
      </c>
      <c r="O6" s="6" t="s">
        <v>161</v>
      </c>
      <c r="P6" s="6" t="s">
        <v>162</v>
      </c>
      <c r="Q6" s="6" t="s">
        <v>163</v>
      </c>
      <c r="R6" s="6" t="s">
        <v>164</v>
      </c>
      <c r="S6" s="6" t="s">
        <v>165</v>
      </c>
      <c r="T6" s="6" t="s">
        <v>166</v>
      </c>
      <c r="U6" s="6" t="s">
        <v>167</v>
      </c>
    </row>
    <row r="7" customFormat="false" ht="15" hidden="false" customHeight="false" outlineLevel="0" collapsed="false">
      <c r="A7" s="11" t="s">
        <v>168</v>
      </c>
      <c r="B7" s="19" t="s">
        <v>169</v>
      </c>
      <c r="C7" s="19" t="n">
        <v>1</v>
      </c>
      <c r="D7" s="20" t="n">
        <f aca="false">INDEX(Inputs!$C$15:$C$18,C7)</f>
        <v>0.4</v>
      </c>
      <c r="E7" s="12" t="n">
        <v>0.089967</v>
      </c>
      <c r="F7" s="12" t="n">
        <v>0.018016</v>
      </c>
      <c r="G7" s="12" t="n">
        <v>0.180049</v>
      </c>
      <c r="H7" s="21" t="n">
        <f aca="false">E7*(1-Inputs!$B$7)</f>
        <v>0.04948185</v>
      </c>
      <c r="I7" s="21" t="n">
        <f aca="false">F7*(1-Inputs!$B$7)</f>
        <v>0.0099088</v>
      </c>
      <c r="J7" s="21" t="n">
        <f aca="false">G7*(1-Inputs!$B$7)</f>
        <v>0.09902695</v>
      </c>
      <c r="K7" s="21" t="n">
        <f aca="false">H7/(1-Inputs!$B$6)</f>
        <v>0.0706883571428572</v>
      </c>
      <c r="L7" s="21" t="n">
        <f aca="false">I7/(1-Inputs!$B$6)</f>
        <v>0.0141554285714286</v>
      </c>
      <c r="M7" s="21" t="n">
        <f aca="false">J7/(1-Inputs!$B$6)</f>
        <v>0.141467071428571</v>
      </c>
      <c r="N7" s="21" t="n">
        <f aca="false">K7+$D7*(E7-K7)</f>
        <v>0.0783998142857143</v>
      </c>
      <c r="O7" s="21" t="n">
        <f aca="false">L7+$D7*(F7-L7)</f>
        <v>0.0156996571428571</v>
      </c>
      <c r="P7" s="21" t="n">
        <f aca="false">M7+$D7*(G7-M7)</f>
        <v>0.156899842857143</v>
      </c>
      <c r="Q7" s="22" t="n">
        <f aca="false">N7*Inputs!$B$8+O7*Inputs!$B$9+P7*Inputs!$B$10</f>
        <v>0.0815597885714286</v>
      </c>
      <c r="R7" s="21" t="n">
        <f aca="false">H7*Inputs!$B$8+I7*Inputs!$B$9+J7*Inputs!$B$10</f>
        <v>0.05147626</v>
      </c>
      <c r="S7" s="10" t="n">
        <f aca="false">IF(Q7=0,0,(Q7-R7)/Q7)</f>
        <v>0.368852459016393</v>
      </c>
      <c r="T7" s="19" t="str">
        <f aca="false">IF(Inputs!$B$7&gt;Inputs!$B$6,"Yes","NO BAND")</f>
        <v>Yes</v>
      </c>
      <c r="U7" s="19" t="str">
        <f aca="false">IF(Q7&lt;=(E7*Inputs!$B$8+F7*Inputs!$B$9+G7*Inputs!$B$10)+0.000001,"Yes","BREACH")</f>
        <v>Yes</v>
      </c>
    </row>
    <row r="8" customFormat="false" ht="15" hidden="false" customHeight="false" outlineLevel="0" collapsed="false">
      <c r="A8" s="11" t="s">
        <v>170</v>
      </c>
      <c r="B8" s="19" t="s">
        <v>169</v>
      </c>
      <c r="C8" s="19" t="n">
        <v>1</v>
      </c>
      <c r="D8" s="20" t="n">
        <f aca="false">INDEX(Inputs!$C$15:$C$18,C8)</f>
        <v>0.4</v>
      </c>
      <c r="E8" s="12" t="n">
        <v>0.060016</v>
      </c>
      <c r="F8" s="12" t="n">
        <v>0.009984</v>
      </c>
      <c r="G8" s="12" t="n">
        <v>0.400033</v>
      </c>
      <c r="H8" s="21" t="n">
        <f aca="false">E8*(1-Inputs!$B$7)</f>
        <v>0.0330088</v>
      </c>
      <c r="I8" s="21" t="n">
        <f aca="false">F8*(1-Inputs!$B$7)</f>
        <v>0.0054912</v>
      </c>
      <c r="J8" s="21" t="n">
        <f aca="false">G8*(1-Inputs!$B$7)</f>
        <v>0.22001815</v>
      </c>
      <c r="K8" s="21" t="n">
        <f aca="false">H8/(1-Inputs!$B$6)</f>
        <v>0.0471554285714286</v>
      </c>
      <c r="L8" s="21" t="n">
        <f aca="false">I8/(1-Inputs!$B$6)</f>
        <v>0.00784457142857143</v>
      </c>
      <c r="M8" s="21" t="n">
        <f aca="false">J8/(1-Inputs!$B$6)</f>
        <v>0.314311642857143</v>
      </c>
      <c r="N8" s="21" t="n">
        <f aca="false">K8+$D8*(E8-K8)</f>
        <v>0.0522996571428572</v>
      </c>
      <c r="O8" s="21" t="n">
        <f aca="false">L8+$D8*(F8-L8)</f>
        <v>0.00870034285714286</v>
      </c>
      <c r="P8" s="21" t="n">
        <f aca="false">M8+$D8*(G8-M8)</f>
        <v>0.348600185714286</v>
      </c>
      <c r="Q8" s="22" t="n">
        <f aca="false">N8*Inputs!$B$8+O8*Inputs!$B$9+P8*Inputs!$B$10</f>
        <v>0.1028399</v>
      </c>
      <c r="R8" s="21" t="n">
        <f aca="false">H8*Inputs!$B$8+I8*Inputs!$B$9+J8*Inputs!$B$10</f>
        <v>0.06490715</v>
      </c>
      <c r="S8" s="10" t="n">
        <f aca="false">IF(Q8=0,0,(Q8-R8)/Q8)</f>
        <v>0.368852459016393</v>
      </c>
      <c r="T8" s="19" t="str">
        <f aca="false">IF(Inputs!$B$7&gt;Inputs!$B$6,"Yes","NO BAND")</f>
        <v>Yes</v>
      </c>
      <c r="U8" s="19" t="str">
        <f aca="false">IF(Q8&lt;=(E8*Inputs!$B$8+F8*Inputs!$B$9+G8*Inputs!$B$10)+0.000001,"Yes","BREACH")</f>
        <v>Yes</v>
      </c>
    </row>
    <row r="9" customFormat="false" ht="15" hidden="false" customHeight="false" outlineLevel="0" collapsed="false">
      <c r="A9" s="11" t="s">
        <v>171</v>
      </c>
      <c r="B9" s="19" t="s">
        <v>169</v>
      </c>
      <c r="C9" s="19" t="n">
        <v>1</v>
      </c>
      <c r="D9" s="20" t="n">
        <f aca="false">INDEX(Inputs!$C$15:$C$18,C9)</f>
        <v>0.4</v>
      </c>
      <c r="E9" s="12" t="n">
        <v>0.089967</v>
      </c>
      <c r="F9" s="12" t="n">
        <v>0.019967</v>
      </c>
      <c r="G9" s="12" t="n">
        <v>0.299967</v>
      </c>
      <c r="H9" s="21" t="n">
        <f aca="false">E9*(1-Inputs!$B$7)</f>
        <v>0.04948185</v>
      </c>
      <c r="I9" s="21" t="n">
        <f aca="false">F9*(1-Inputs!$B$7)</f>
        <v>0.01098185</v>
      </c>
      <c r="J9" s="21" t="n">
        <f aca="false">G9*(1-Inputs!$B$7)</f>
        <v>0.16498185</v>
      </c>
      <c r="K9" s="21" t="n">
        <f aca="false">H9/(1-Inputs!$B$6)</f>
        <v>0.0706883571428572</v>
      </c>
      <c r="L9" s="21" t="n">
        <f aca="false">I9/(1-Inputs!$B$6)</f>
        <v>0.0156883571428571</v>
      </c>
      <c r="M9" s="21" t="n">
        <f aca="false">J9/(1-Inputs!$B$6)</f>
        <v>0.235688357142857</v>
      </c>
      <c r="N9" s="21" t="n">
        <f aca="false">K9+$D9*(E9-K9)</f>
        <v>0.0783998142857143</v>
      </c>
      <c r="O9" s="21" t="n">
        <f aca="false">L9+$D9*(F9-L9)</f>
        <v>0.0173998142857143</v>
      </c>
      <c r="P9" s="21" t="n">
        <f aca="false">M9+$D9*(G9-M9)</f>
        <v>0.261399814285714</v>
      </c>
      <c r="Q9" s="22" t="n">
        <f aca="false">N9*Inputs!$B$8+O9*Inputs!$B$9+P9*Inputs!$B$10</f>
        <v>0.102799814285714</v>
      </c>
      <c r="R9" s="21" t="n">
        <f aca="false">H9*Inputs!$B$8+I9*Inputs!$B$9+J9*Inputs!$B$10</f>
        <v>0.06488185</v>
      </c>
      <c r="S9" s="10" t="n">
        <f aca="false">IF(Q9=0,0,(Q9-R9)/Q9)</f>
        <v>0.368852459016393</v>
      </c>
      <c r="T9" s="19" t="str">
        <f aca="false">IF(Inputs!$B$7&gt;Inputs!$B$6,"Yes","NO BAND")</f>
        <v>Yes</v>
      </c>
      <c r="U9" s="19" t="str">
        <f aca="false">IF(Q9&lt;=(E9*Inputs!$B$8+F9*Inputs!$B$9+G9*Inputs!$B$10)+0.000001,"Yes","BREACH")</f>
        <v>Yes</v>
      </c>
    </row>
    <row r="10" customFormat="false" ht="15" hidden="false" customHeight="false" outlineLevel="0" collapsed="false">
      <c r="A10" s="11" t="s">
        <v>172</v>
      </c>
      <c r="B10" s="19" t="s">
        <v>169</v>
      </c>
      <c r="C10" s="19" t="n">
        <v>1</v>
      </c>
      <c r="D10" s="20" t="n">
        <f aca="false">INDEX(Inputs!$C$15:$C$18,C10)</f>
        <v>0.4</v>
      </c>
      <c r="E10" s="12" t="n">
        <v>0.260033</v>
      </c>
      <c r="F10" s="12" t="n">
        <v>0.130016</v>
      </c>
      <c r="G10" s="12" t="n">
        <v>0.379951</v>
      </c>
      <c r="H10" s="21" t="n">
        <f aca="false">E10*(1-Inputs!$B$7)</f>
        <v>0.14301815</v>
      </c>
      <c r="I10" s="21" t="n">
        <f aca="false">F10*(1-Inputs!$B$7)</f>
        <v>0.0715088</v>
      </c>
      <c r="J10" s="21" t="n">
        <f aca="false">G10*(1-Inputs!$B$7)</f>
        <v>0.20897305</v>
      </c>
      <c r="K10" s="21" t="n">
        <f aca="false">H10/(1-Inputs!$B$6)</f>
        <v>0.204311642857143</v>
      </c>
      <c r="L10" s="21" t="n">
        <f aca="false">I10/(1-Inputs!$B$6)</f>
        <v>0.102155428571429</v>
      </c>
      <c r="M10" s="21" t="n">
        <f aca="false">J10/(1-Inputs!$B$6)</f>
        <v>0.298532928571429</v>
      </c>
      <c r="N10" s="21" t="n">
        <f aca="false">K10+$D10*(E10-K10)</f>
        <v>0.226600185714286</v>
      </c>
      <c r="O10" s="21" t="n">
        <f aca="false">L10+$D10*(F10-L10)</f>
        <v>0.113299657142857</v>
      </c>
      <c r="P10" s="21" t="n">
        <f aca="false">M10+$D10*(G10-M10)</f>
        <v>0.331100157142857</v>
      </c>
      <c r="Q10" s="22" t="n">
        <f aca="false">N10*Inputs!$B$8+O10*Inputs!$B$9+P10*Inputs!$B$10</f>
        <v>0.224840074285714</v>
      </c>
      <c r="R10" s="21" t="n">
        <f aca="false">H10*Inputs!$B$8+I10*Inputs!$B$9+J10*Inputs!$B$10</f>
        <v>0.14190726</v>
      </c>
      <c r="S10" s="10" t="n">
        <f aca="false">IF(Q10=0,0,(Q10-R10)/Q10)</f>
        <v>0.368852459016393</v>
      </c>
      <c r="T10" s="19" t="str">
        <f aca="false">IF(Inputs!$B$7&gt;Inputs!$B$6,"Yes","NO BAND")</f>
        <v>Yes</v>
      </c>
      <c r="U10" s="19" t="str">
        <f aca="false">IF(Q10&lt;=(E10*Inputs!$B$8+F10*Inputs!$B$9+G10*Inputs!$B$10)+0.000001,"Yes","BREACH")</f>
        <v>Yes</v>
      </c>
    </row>
    <row r="11" customFormat="false" ht="15" hidden="false" customHeight="false" outlineLevel="0" collapsed="false">
      <c r="A11" s="11" t="s">
        <v>173</v>
      </c>
      <c r="B11" s="19" t="s">
        <v>169</v>
      </c>
      <c r="C11" s="19" t="n">
        <v>1</v>
      </c>
      <c r="D11" s="20" t="n">
        <f aca="false">INDEX(Inputs!$C$15:$C$18,C11)</f>
        <v>0.4</v>
      </c>
      <c r="E11" s="12" t="n">
        <v>0.200016</v>
      </c>
      <c r="F11" s="12" t="n">
        <v>0.110049</v>
      </c>
      <c r="G11" s="12" t="n">
        <v>0.880049</v>
      </c>
      <c r="H11" s="21" t="n">
        <f aca="false">E11*(1-Inputs!$B$7)</f>
        <v>0.1100088</v>
      </c>
      <c r="I11" s="21" t="n">
        <f aca="false">F11*(1-Inputs!$B$7)</f>
        <v>0.06052695</v>
      </c>
      <c r="J11" s="21" t="n">
        <f aca="false">G11*(1-Inputs!$B$7)</f>
        <v>0.48402695</v>
      </c>
      <c r="K11" s="21" t="n">
        <f aca="false">H11/(1-Inputs!$B$6)</f>
        <v>0.157155428571429</v>
      </c>
      <c r="L11" s="21" t="n">
        <f aca="false">I11/(1-Inputs!$B$6)</f>
        <v>0.0864670714285714</v>
      </c>
      <c r="M11" s="21" t="n">
        <f aca="false">J11/(1-Inputs!$B$6)</f>
        <v>0.691467071428571</v>
      </c>
      <c r="N11" s="21" t="n">
        <f aca="false">K11+$D11*(E11-K11)</f>
        <v>0.174299657142857</v>
      </c>
      <c r="O11" s="21" t="n">
        <f aca="false">L11+$D11*(F11-L11)</f>
        <v>0.0958998428571429</v>
      </c>
      <c r="P11" s="21" t="n">
        <f aca="false">M11+$D11*(G11-M11)</f>
        <v>0.766899842857143</v>
      </c>
      <c r="Q11" s="22" t="n">
        <f aca="false">N11*Inputs!$B$8+O11*Inputs!$B$9+P11*Inputs!$B$10</f>
        <v>0.277139731428571</v>
      </c>
      <c r="R11" s="21" t="n">
        <f aca="false">H11*Inputs!$B$8+I11*Inputs!$B$9+J11*Inputs!$B$10</f>
        <v>0.17491606</v>
      </c>
      <c r="S11" s="10" t="n">
        <f aca="false">IF(Q11=0,0,(Q11-R11)/Q11)</f>
        <v>0.368852459016393</v>
      </c>
      <c r="T11" s="19" t="str">
        <f aca="false">IF(Inputs!$B$7&gt;Inputs!$B$6,"Yes","NO BAND")</f>
        <v>Yes</v>
      </c>
      <c r="U11" s="19" t="str">
        <f aca="false">IF(Q11&lt;=(E11*Inputs!$B$8+F11*Inputs!$B$9+G11*Inputs!$B$10)+0.000001,"Yes","BREACH")</f>
        <v>Yes</v>
      </c>
    </row>
    <row r="12" customFormat="false" ht="15" hidden="false" customHeight="false" outlineLevel="0" collapsed="false">
      <c r="A12" s="11" t="s">
        <v>174</v>
      </c>
      <c r="B12" s="19" t="s">
        <v>169</v>
      </c>
      <c r="C12" s="19" t="n">
        <v>1</v>
      </c>
      <c r="D12" s="20" t="n">
        <f aca="false">INDEX(Inputs!$C$15:$C$18,C12)</f>
        <v>0.4</v>
      </c>
      <c r="E12" s="12" t="n">
        <v>0.149984</v>
      </c>
      <c r="F12" s="12" t="n">
        <v>0.029951</v>
      </c>
      <c r="G12" s="12" t="n">
        <v>1.149951</v>
      </c>
      <c r="H12" s="21" t="n">
        <f aca="false">E12*(1-Inputs!$B$7)</f>
        <v>0.0824912</v>
      </c>
      <c r="I12" s="21" t="n">
        <f aca="false">F12*(1-Inputs!$B$7)</f>
        <v>0.01647305</v>
      </c>
      <c r="J12" s="21" t="n">
        <f aca="false">G12*(1-Inputs!$B$7)</f>
        <v>0.63247305</v>
      </c>
      <c r="K12" s="21" t="n">
        <f aca="false">H12/(1-Inputs!$B$6)</f>
        <v>0.117844571428571</v>
      </c>
      <c r="L12" s="21" t="n">
        <f aca="false">I12/(1-Inputs!$B$6)</f>
        <v>0.0235329285714286</v>
      </c>
      <c r="M12" s="21" t="n">
        <f aca="false">J12/(1-Inputs!$B$6)</f>
        <v>0.903532928571429</v>
      </c>
      <c r="N12" s="21" t="n">
        <f aca="false">K12+$D12*(E12-K12)</f>
        <v>0.130700342857143</v>
      </c>
      <c r="O12" s="21" t="n">
        <f aca="false">L12+$D12*(F12-L12)</f>
        <v>0.0261001571428571</v>
      </c>
      <c r="P12" s="21" t="n">
        <f aca="false">M12+$D12*(G12-M12)</f>
        <v>1.00210015714286</v>
      </c>
      <c r="Q12" s="22" t="n">
        <f aca="false">N12*Inputs!$B$8+O12*Inputs!$B$9+P12*Inputs!$B$10</f>
        <v>0.284060268571429</v>
      </c>
      <c r="R12" s="21" t="n">
        <f aca="false">H12*Inputs!$B$8+I12*Inputs!$B$9+J12*Inputs!$B$10</f>
        <v>0.17928394</v>
      </c>
      <c r="S12" s="10" t="n">
        <f aca="false">IF(Q12=0,0,(Q12-R12)/Q12)</f>
        <v>0.368852459016393</v>
      </c>
      <c r="T12" s="19" t="str">
        <f aca="false">IF(Inputs!$B$7&gt;Inputs!$B$6,"Yes","NO BAND")</f>
        <v>Yes</v>
      </c>
      <c r="U12" s="19" t="str">
        <f aca="false">IF(Q12&lt;=(E12*Inputs!$B$8+F12*Inputs!$B$9+G12*Inputs!$B$10)+0.000001,"Yes","BREACH")</f>
        <v>Yes</v>
      </c>
    </row>
    <row r="13" customFormat="false" ht="15" hidden="false" customHeight="false" outlineLevel="0" collapsed="false">
      <c r="A13" s="11" t="s">
        <v>175</v>
      </c>
      <c r="B13" s="19" t="s">
        <v>169</v>
      </c>
      <c r="C13" s="19" t="n">
        <v>1</v>
      </c>
      <c r="D13" s="20" t="n">
        <f aca="false">INDEX(Inputs!$C$15:$C$18,C13)</f>
        <v>0.4</v>
      </c>
      <c r="E13" s="12" t="n">
        <v>0.270016</v>
      </c>
      <c r="F13" s="12" t="n">
        <v>0.130016</v>
      </c>
      <c r="G13" s="12" t="n">
        <v>0.950049</v>
      </c>
      <c r="H13" s="21" t="n">
        <f aca="false">E13*(1-Inputs!$B$7)</f>
        <v>0.1485088</v>
      </c>
      <c r="I13" s="21" t="n">
        <f aca="false">F13*(1-Inputs!$B$7)</f>
        <v>0.0715088</v>
      </c>
      <c r="J13" s="21" t="n">
        <f aca="false">G13*(1-Inputs!$B$7)</f>
        <v>0.52252695</v>
      </c>
      <c r="K13" s="21" t="n">
        <f aca="false">H13/(1-Inputs!$B$6)</f>
        <v>0.212155428571429</v>
      </c>
      <c r="L13" s="21" t="n">
        <f aca="false">I13/(1-Inputs!$B$6)</f>
        <v>0.102155428571429</v>
      </c>
      <c r="M13" s="21" t="n">
        <f aca="false">J13/(1-Inputs!$B$6)</f>
        <v>0.746467071428572</v>
      </c>
      <c r="N13" s="21" t="n">
        <f aca="false">K13+$D13*(E13-K13)</f>
        <v>0.235299657142857</v>
      </c>
      <c r="O13" s="21" t="n">
        <f aca="false">L13+$D13*(F13-L13)</f>
        <v>0.113299657142857</v>
      </c>
      <c r="P13" s="21" t="n">
        <f aca="false">M13+$D13*(G13-M13)</f>
        <v>0.827899842857143</v>
      </c>
      <c r="Q13" s="22" t="n">
        <f aca="false">N13*Inputs!$B$8+O13*Inputs!$B$9+P13*Inputs!$B$10</f>
        <v>0.329419694285714</v>
      </c>
      <c r="R13" s="21" t="n">
        <f aca="false">H13*Inputs!$B$8+I13*Inputs!$B$9+J13*Inputs!$B$10</f>
        <v>0.20791243</v>
      </c>
      <c r="S13" s="10" t="n">
        <f aca="false">IF(Q13=0,0,(Q13-R13)/Q13)</f>
        <v>0.368852459016393</v>
      </c>
      <c r="T13" s="19" t="str">
        <f aca="false">IF(Inputs!$B$7&gt;Inputs!$B$6,"Yes","NO BAND")</f>
        <v>Yes</v>
      </c>
      <c r="U13" s="19" t="str">
        <f aca="false">IF(Q13&lt;=(E13*Inputs!$B$8+F13*Inputs!$B$9+G13*Inputs!$B$10)+0.000001,"Yes","BREACH")</f>
        <v>Yes</v>
      </c>
    </row>
    <row r="14" customFormat="false" ht="15" hidden="false" customHeight="false" outlineLevel="0" collapsed="false">
      <c r="A14" s="11" t="s">
        <v>176</v>
      </c>
      <c r="B14" s="19" t="s">
        <v>169</v>
      </c>
      <c r="C14" s="19" t="n">
        <v>2</v>
      </c>
      <c r="D14" s="20" t="n">
        <f aca="false">INDEX(Inputs!$C$15:$C$18,C14)</f>
        <v>0.5</v>
      </c>
      <c r="E14" s="12" t="n">
        <v>0.300048</v>
      </c>
      <c r="F14" s="12" t="n">
        <v>0.100016</v>
      </c>
      <c r="G14" s="12" t="n">
        <v>1.000048</v>
      </c>
      <c r="H14" s="21" t="n">
        <f aca="false">E14*(1-Inputs!$B$7)</f>
        <v>0.1650264</v>
      </c>
      <c r="I14" s="21" t="n">
        <f aca="false">F14*(1-Inputs!$B$7)</f>
        <v>0.0550088</v>
      </c>
      <c r="J14" s="21" t="n">
        <f aca="false">G14*(1-Inputs!$B$7)</f>
        <v>0.5500264</v>
      </c>
      <c r="K14" s="21" t="n">
        <f aca="false">H14/(1-Inputs!$B$6)</f>
        <v>0.235752</v>
      </c>
      <c r="L14" s="21" t="n">
        <f aca="false">I14/(1-Inputs!$B$6)</f>
        <v>0.078584</v>
      </c>
      <c r="M14" s="21" t="n">
        <f aca="false">J14/(1-Inputs!$B$6)</f>
        <v>0.785752</v>
      </c>
      <c r="N14" s="21" t="n">
        <f aca="false">K14+$D14*(E14-K14)</f>
        <v>0.2679</v>
      </c>
      <c r="O14" s="21" t="n">
        <f aca="false">L14+$D14*(F14-L14)</f>
        <v>0.0893</v>
      </c>
      <c r="P14" s="21" t="n">
        <f aca="false">M14+$D14*(G14-M14)</f>
        <v>0.8929</v>
      </c>
      <c r="Q14" s="22" t="n">
        <f aca="false">N14*Inputs!$B$8+O14*Inputs!$B$9+P14*Inputs!$B$10</f>
        <v>0.35718</v>
      </c>
      <c r="R14" s="21" t="n">
        <f aca="false">H14*Inputs!$B$8+I14*Inputs!$B$9+J14*Inputs!$B$10</f>
        <v>0.22002288</v>
      </c>
      <c r="S14" s="10" t="n">
        <f aca="false">IF(Q14=0,0,(Q14-R14)/Q14)</f>
        <v>0.384</v>
      </c>
      <c r="T14" s="19" t="str">
        <f aca="false">IF(Inputs!$B$7&gt;Inputs!$B$6,"Yes","NO BAND")</f>
        <v>Yes</v>
      </c>
      <c r="U14" s="19" t="str">
        <f aca="false">IF(Q14&lt;=(E14*Inputs!$B$8+F14*Inputs!$B$9+G14*Inputs!$B$10)+0.000001,"Yes","BREACH")</f>
        <v>Yes</v>
      </c>
    </row>
    <row r="15" customFormat="false" ht="15" hidden="false" customHeight="false" outlineLevel="0" collapsed="false">
      <c r="A15" s="11" t="s">
        <v>177</v>
      </c>
      <c r="B15" s="19" t="s">
        <v>169</v>
      </c>
      <c r="C15" s="19" t="n">
        <v>2</v>
      </c>
      <c r="D15" s="20" t="n">
        <f aca="false">INDEX(Inputs!$C$15:$C$18,C15)</f>
        <v>0.5</v>
      </c>
      <c r="E15" s="12" t="n">
        <v>0.230048</v>
      </c>
      <c r="F15" s="12" t="n">
        <v>0.200032</v>
      </c>
      <c r="G15" s="12" t="n">
        <v>2.300032</v>
      </c>
      <c r="H15" s="21" t="n">
        <f aca="false">E15*(1-Inputs!$B$7)</f>
        <v>0.1265264</v>
      </c>
      <c r="I15" s="21" t="n">
        <f aca="false">F15*(1-Inputs!$B$7)</f>
        <v>0.1100176</v>
      </c>
      <c r="J15" s="21" t="n">
        <f aca="false">G15*(1-Inputs!$B$7)</f>
        <v>1.2650176</v>
      </c>
      <c r="K15" s="21" t="n">
        <f aca="false">H15/(1-Inputs!$B$6)</f>
        <v>0.180752</v>
      </c>
      <c r="L15" s="21" t="n">
        <f aca="false">I15/(1-Inputs!$B$6)</f>
        <v>0.157168</v>
      </c>
      <c r="M15" s="21" t="n">
        <f aca="false">J15/(1-Inputs!$B$6)</f>
        <v>1.807168</v>
      </c>
      <c r="N15" s="21" t="n">
        <f aca="false">K15+$D15*(E15-K15)</f>
        <v>0.2054</v>
      </c>
      <c r="O15" s="21" t="n">
        <f aca="false">L15+$D15*(F15-L15)</f>
        <v>0.1786</v>
      </c>
      <c r="P15" s="21" t="n">
        <f aca="false">M15+$D15*(G15-M15)</f>
        <v>2.0536</v>
      </c>
      <c r="Q15" s="22" t="n">
        <f aca="false">N15*Inputs!$B$8+O15*Inputs!$B$9+P15*Inputs!$B$10</f>
        <v>0.56968</v>
      </c>
      <c r="R15" s="21" t="n">
        <f aca="false">H15*Inputs!$B$8+I15*Inputs!$B$9+J15*Inputs!$B$10</f>
        <v>0.35092288</v>
      </c>
      <c r="S15" s="10" t="n">
        <f aca="false">IF(Q15=0,0,(Q15-R15)/Q15)</f>
        <v>0.384</v>
      </c>
      <c r="T15" s="19" t="str">
        <f aca="false">IF(Inputs!$B$7&gt;Inputs!$B$6,"Yes","NO BAND")</f>
        <v>Yes</v>
      </c>
      <c r="U15" s="19" t="str">
        <f aca="false">IF(Q15&lt;=(E15*Inputs!$B$8+F15*Inputs!$B$9+G15*Inputs!$B$10)+0.000001,"Yes","BREACH")</f>
        <v>Yes</v>
      </c>
    </row>
    <row r="16" customFormat="false" ht="15" hidden="false" customHeight="false" outlineLevel="0" collapsed="false">
      <c r="A16" s="11" t="s">
        <v>178</v>
      </c>
      <c r="B16" s="19" t="s">
        <v>169</v>
      </c>
      <c r="C16" s="19" t="n">
        <v>2</v>
      </c>
      <c r="D16" s="20" t="n">
        <f aca="false">INDEX(Inputs!$C$15:$C$18,C16)</f>
        <v>0.5</v>
      </c>
      <c r="E16" s="12" t="n">
        <v>0.399952</v>
      </c>
      <c r="F16" s="12" t="n">
        <v>0.079968</v>
      </c>
      <c r="G16" s="12" t="n">
        <v>1.999984</v>
      </c>
      <c r="H16" s="21" t="n">
        <f aca="false">E16*(1-Inputs!$B$7)</f>
        <v>0.2199736</v>
      </c>
      <c r="I16" s="21" t="n">
        <f aca="false">F16*(1-Inputs!$B$7)</f>
        <v>0.0439824</v>
      </c>
      <c r="J16" s="21" t="n">
        <f aca="false">G16*(1-Inputs!$B$7)</f>
        <v>1.0999912</v>
      </c>
      <c r="K16" s="21" t="n">
        <f aca="false">H16/(1-Inputs!$B$6)</f>
        <v>0.314248</v>
      </c>
      <c r="L16" s="21" t="n">
        <f aca="false">I16/(1-Inputs!$B$6)</f>
        <v>0.062832</v>
      </c>
      <c r="M16" s="21" t="n">
        <f aca="false">J16/(1-Inputs!$B$6)</f>
        <v>1.571416</v>
      </c>
      <c r="N16" s="21" t="n">
        <f aca="false">K16+$D16*(E16-K16)</f>
        <v>0.3571</v>
      </c>
      <c r="O16" s="21" t="n">
        <f aca="false">L16+$D16*(F16-L16)</f>
        <v>0.0714</v>
      </c>
      <c r="P16" s="21" t="n">
        <f aca="false">M16+$D16*(G16-M16)</f>
        <v>1.7857</v>
      </c>
      <c r="Q16" s="22" t="n">
        <f aca="false">N16*Inputs!$B$8+O16*Inputs!$B$9+P16*Inputs!$B$10</f>
        <v>0.58568</v>
      </c>
      <c r="R16" s="21" t="n">
        <f aca="false">H16*Inputs!$B$8+I16*Inputs!$B$9+J16*Inputs!$B$10</f>
        <v>0.36077888</v>
      </c>
      <c r="S16" s="10" t="n">
        <f aca="false">IF(Q16=0,0,(Q16-R16)/Q16)</f>
        <v>0.384</v>
      </c>
      <c r="T16" s="19" t="str">
        <f aca="false">IF(Inputs!$B$7&gt;Inputs!$B$6,"Yes","NO BAND")</f>
        <v>Yes</v>
      </c>
      <c r="U16" s="19" t="str">
        <f aca="false">IF(Q16&lt;=(E16*Inputs!$B$8+F16*Inputs!$B$9+G16*Inputs!$B$10)+0.000001,"Yes","BREACH")</f>
        <v>Yes</v>
      </c>
    </row>
    <row r="17" customFormat="false" ht="15" hidden="false" customHeight="false" outlineLevel="0" collapsed="false">
      <c r="A17" s="11" t="s">
        <v>179</v>
      </c>
      <c r="B17" s="19" t="s">
        <v>169</v>
      </c>
      <c r="C17" s="19" t="n">
        <v>2</v>
      </c>
      <c r="D17" s="20" t="n">
        <f aca="false">INDEX(Inputs!$C$15:$C$18,C17)</f>
        <v>0.5</v>
      </c>
      <c r="E17" s="12" t="n">
        <v>0.450016</v>
      </c>
      <c r="F17" s="12" t="n">
        <v>0.07</v>
      </c>
      <c r="G17" s="12" t="n">
        <v>2.249968</v>
      </c>
      <c r="H17" s="21" t="n">
        <f aca="false">E17*(1-Inputs!$B$7)</f>
        <v>0.2475088</v>
      </c>
      <c r="I17" s="21" t="n">
        <f aca="false">F17*(1-Inputs!$B$7)</f>
        <v>0.0385</v>
      </c>
      <c r="J17" s="21" t="n">
        <f aca="false">G17*(1-Inputs!$B$7)</f>
        <v>1.2374824</v>
      </c>
      <c r="K17" s="21" t="n">
        <f aca="false">H17/(1-Inputs!$B$6)</f>
        <v>0.353584</v>
      </c>
      <c r="L17" s="21" t="n">
        <f aca="false">I17/(1-Inputs!$B$6)</f>
        <v>0.055</v>
      </c>
      <c r="M17" s="21" t="n">
        <f aca="false">J17/(1-Inputs!$B$6)</f>
        <v>1.767832</v>
      </c>
      <c r="N17" s="21" t="n">
        <f aca="false">K17+$D17*(E17-K17)</f>
        <v>0.4018</v>
      </c>
      <c r="O17" s="21" t="n">
        <f aca="false">L17+$D17*(F17-L17)</f>
        <v>0.0625</v>
      </c>
      <c r="P17" s="21" t="n">
        <f aca="false">M17+$D17*(G17-M17)</f>
        <v>2.0089</v>
      </c>
      <c r="Q17" s="22" t="n">
        <f aca="false">N17*Inputs!$B$8+O17*Inputs!$B$9+P17*Inputs!$B$10</f>
        <v>0.65536</v>
      </c>
      <c r="R17" s="21" t="n">
        <f aca="false">H17*Inputs!$B$8+I17*Inputs!$B$9+J17*Inputs!$B$10</f>
        <v>0.40370176</v>
      </c>
      <c r="S17" s="10" t="n">
        <f aca="false">IF(Q17=0,0,(Q17-R17)/Q17)</f>
        <v>0.384</v>
      </c>
      <c r="T17" s="19" t="str">
        <f aca="false">IF(Inputs!$B$7&gt;Inputs!$B$6,"Yes","NO BAND")</f>
        <v>Yes</v>
      </c>
      <c r="U17" s="19" t="str">
        <f aca="false">IF(Q17&lt;=(E17*Inputs!$B$8+F17*Inputs!$B$9+G17*Inputs!$B$10)+0.000001,"Yes","BREACH")</f>
        <v>Yes</v>
      </c>
    </row>
    <row r="18" customFormat="false" ht="15" hidden="false" customHeight="false" outlineLevel="0" collapsed="false">
      <c r="A18" s="11" t="s">
        <v>180</v>
      </c>
      <c r="B18" s="19" t="s">
        <v>169</v>
      </c>
      <c r="C18" s="19" t="n">
        <v>2</v>
      </c>
      <c r="D18" s="20" t="n">
        <f aca="false">INDEX(Inputs!$C$15:$C$18,C18)</f>
        <v>0.5</v>
      </c>
      <c r="E18" s="12" t="n">
        <v>0.499968</v>
      </c>
      <c r="F18" s="12" t="n">
        <v>0.100016</v>
      </c>
      <c r="G18" s="12" t="n">
        <v>2.200016</v>
      </c>
      <c r="H18" s="21" t="n">
        <f aca="false">E18*(1-Inputs!$B$7)</f>
        <v>0.2749824</v>
      </c>
      <c r="I18" s="21" t="n">
        <f aca="false">F18*(1-Inputs!$B$7)</f>
        <v>0.0550088</v>
      </c>
      <c r="J18" s="21" t="n">
        <f aca="false">G18*(1-Inputs!$B$7)</f>
        <v>1.2100088</v>
      </c>
      <c r="K18" s="21" t="n">
        <f aca="false">H18/(1-Inputs!$B$6)</f>
        <v>0.392832</v>
      </c>
      <c r="L18" s="21" t="n">
        <f aca="false">I18/(1-Inputs!$B$6)</f>
        <v>0.078584</v>
      </c>
      <c r="M18" s="21" t="n">
        <f aca="false">J18/(1-Inputs!$B$6)</f>
        <v>1.728584</v>
      </c>
      <c r="N18" s="21" t="n">
        <f aca="false">K18+$D18*(E18-K18)</f>
        <v>0.4464</v>
      </c>
      <c r="O18" s="21" t="n">
        <f aca="false">L18+$D18*(F18-L18)</f>
        <v>0.0893</v>
      </c>
      <c r="P18" s="21" t="n">
        <f aca="false">M18+$D18*(G18-M18)</f>
        <v>1.9643</v>
      </c>
      <c r="Q18" s="22" t="n">
        <f aca="false">N18*Inputs!$B$8+O18*Inputs!$B$9+P18*Inputs!$B$10</f>
        <v>0.67856</v>
      </c>
      <c r="R18" s="21" t="n">
        <f aca="false">H18*Inputs!$B$8+I18*Inputs!$B$9+J18*Inputs!$B$10</f>
        <v>0.41799296</v>
      </c>
      <c r="S18" s="10" t="n">
        <f aca="false">IF(Q18=0,0,(Q18-R18)/Q18)</f>
        <v>0.384</v>
      </c>
      <c r="T18" s="19" t="str">
        <f aca="false">IF(Inputs!$B$7&gt;Inputs!$B$6,"Yes","NO BAND")</f>
        <v>Yes</v>
      </c>
      <c r="U18" s="19" t="str">
        <f aca="false">IF(Q18&lt;=(E18*Inputs!$B$8+F18*Inputs!$B$9+G18*Inputs!$B$10)+0.000001,"Yes","BREACH")</f>
        <v>Yes</v>
      </c>
    </row>
    <row r="19" customFormat="false" ht="15" hidden="false" customHeight="false" outlineLevel="0" collapsed="false">
      <c r="A19" s="11" t="s">
        <v>181</v>
      </c>
      <c r="B19" s="19" t="s">
        <v>169</v>
      </c>
      <c r="C19" s="19" t="n">
        <v>2</v>
      </c>
      <c r="D19" s="20" t="n">
        <f aca="false">INDEX(Inputs!$C$15:$C$18,C19)</f>
        <v>0.5</v>
      </c>
      <c r="E19" s="12" t="n">
        <v>0.499968</v>
      </c>
      <c r="F19" s="12" t="n">
        <v>0.35</v>
      </c>
      <c r="G19" s="12" t="n">
        <v>2.149952</v>
      </c>
      <c r="H19" s="21" t="n">
        <f aca="false">E19*(1-Inputs!$B$7)</f>
        <v>0.2749824</v>
      </c>
      <c r="I19" s="21" t="n">
        <f aca="false">F19*(1-Inputs!$B$7)</f>
        <v>0.1925</v>
      </c>
      <c r="J19" s="21" t="n">
        <f aca="false">G19*(1-Inputs!$B$7)</f>
        <v>1.1824736</v>
      </c>
      <c r="K19" s="21" t="n">
        <f aca="false">H19/(1-Inputs!$B$6)</f>
        <v>0.392832</v>
      </c>
      <c r="L19" s="21" t="n">
        <f aca="false">I19/(1-Inputs!$B$6)</f>
        <v>0.275</v>
      </c>
      <c r="M19" s="21" t="n">
        <f aca="false">J19/(1-Inputs!$B$6)</f>
        <v>1.689248</v>
      </c>
      <c r="N19" s="21" t="n">
        <f aca="false">K19+$D19*(E19-K19)</f>
        <v>0.4464</v>
      </c>
      <c r="O19" s="21" t="n">
        <f aca="false">L19+$D19*(F19-L19)</f>
        <v>0.3125</v>
      </c>
      <c r="P19" s="21" t="n">
        <f aca="false">M19+$D19*(G19-M19)</f>
        <v>1.9196</v>
      </c>
      <c r="Q19" s="22" t="n">
        <f aca="false">N19*Inputs!$B$8+O19*Inputs!$B$9+P19*Inputs!$B$10</f>
        <v>0.71426</v>
      </c>
      <c r="R19" s="21" t="n">
        <f aca="false">H19*Inputs!$B$8+I19*Inputs!$B$9+J19*Inputs!$B$10</f>
        <v>0.43998416</v>
      </c>
      <c r="S19" s="10" t="n">
        <f aca="false">IF(Q19=0,0,(Q19-R19)/Q19)</f>
        <v>0.384</v>
      </c>
      <c r="T19" s="19" t="str">
        <f aca="false">IF(Inputs!$B$7&gt;Inputs!$B$6,"Yes","NO BAND")</f>
        <v>Yes</v>
      </c>
      <c r="U19" s="19" t="str">
        <f aca="false">IF(Q19&lt;=(E19*Inputs!$B$8+F19*Inputs!$B$9+G19*Inputs!$B$10)+0.000001,"Yes","BREACH")</f>
        <v>Yes</v>
      </c>
    </row>
    <row r="20" customFormat="false" ht="15" hidden="false" customHeight="false" outlineLevel="0" collapsed="false">
      <c r="A20" s="11" t="s">
        <v>182</v>
      </c>
      <c r="B20" s="19" t="s">
        <v>169</v>
      </c>
      <c r="C20" s="19" t="n">
        <v>2</v>
      </c>
      <c r="D20" s="20" t="n">
        <f aca="false">INDEX(Inputs!$C$15:$C$18,C20)</f>
        <v>0.5</v>
      </c>
      <c r="E20" s="12" t="n">
        <v>0.599984</v>
      </c>
      <c r="F20" s="12" t="n">
        <v>0.119952</v>
      </c>
      <c r="G20" s="12" t="n">
        <v>2.079952</v>
      </c>
      <c r="H20" s="21" t="n">
        <f aca="false">E20*(1-Inputs!$B$7)</f>
        <v>0.3299912</v>
      </c>
      <c r="I20" s="21" t="n">
        <f aca="false">F20*(1-Inputs!$B$7)</f>
        <v>0.0659736</v>
      </c>
      <c r="J20" s="21" t="n">
        <f aca="false">G20*(1-Inputs!$B$7)</f>
        <v>1.1439736</v>
      </c>
      <c r="K20" s="21" t="n">
        <f aca="false">H20/(1-Inputs!$B$6)</f>
        <v>0.471416</v>
      </c>
      <c r="L20" s="21" t="n">
        <f aca="false">I20/(1-Inputs!$B$6)</f>
        <v>0.094248</v>
      </c>
      <c r="M20" s="21" t="n">
        <f aca="false">J20/(1-Inputs!$B$6)</f>
        <v>1.634248</v>
      </c>
      <c r="N20" s="21" t="n">
        <f aca="false">K20+$D20*(E20-K20)</f>
        <v>0.5357</v>
      </c>
      <c r="O20" s="21" t="n">
        <f aca="false">L20+$D20*(F20-L20)</f>
        <v>0.1071</v>
      </c>
      <c r="P20" s="21" t="n">
        <f aca="false">M20+$D20*(G20-M20)</f>
        <v>1.8571</v>
      </c>
      <c r="Q20" s="22" t="n">
        <f aca="false">N20*Inputs!$B$8+O20*Inputs!$B$9+P20*Inputs!$B$10</f>
        <v>0.71426</v>
      </c>
      <c r="R20" s="21" t="n">
        <f aca="false">H20*Inputs!$B$8+I20*Inputs!$B$9+J20*Inputs!$B$10</f>
        <v>0.43998416</v>
      </c>
      <c r="S20" s="10" t="n">
        <f aca="false">IF(Q20=0,0,(Q20-R20)/Q20)</f>
        <v>0.384</v>
      </c>
      <c r="T20" s="19" t="str">
        <f aca="false">IF(Inputs!$B$7&gt;Inputs!$B$6,"Yes","NO BAND")</f>
        <v>Yes</v>
      </c>
      <c r="U20" s="19" t="str">
        <f aca="false">IF(Q20&lt;=(E20*Inputs!$B$8+F20*Inputs!$B$9+G20*Inputs!$B$10)+0.000001,"Yes","BREACH")</f>
        <v>Yes</v>
      </c>
    </row>
    <row r="21" customFormat="false" ht="15" hidden="false" customHeight="false" outlineLevel="0" collapsed="false">
      <c r="A21" s="11" t="s">
        <v>183</v>
      </c>
      <c r="B21" s="19" t="s">
        <v>184</v>
      </c>
      <c r="C21" s="19" t="n">
        <v>2</v>
      </c>
      <c r="D21" s="20" t="n">
        <f aca="false">INDEX(Inputs!$C$15:$C$18,C21)</f>
        <v>0.5</v>
      </c>
      <c r="E21" s="12" t="n">
        <v>0.599984</v>
      </c>
      <c r="F21" s="12" t="n">
        <v>0.119952</v>
      </c>
      <c r="G21" s="12" t="n">
        <v>2.200016</v>
      </c>
      <c r="H21" s="21" t="n">
        <f aca="false">E21*(1-Inputs!$B$7)</f>
        <v>0.3299912</v>
      </c>
      <c r="I21" s="21" t="n">
        <f aca="false">F21*(1-Inputs!$B$7)</f>
        <v>0.0659736</v>
      </c>
      <c r="J21" s="21" t="n">
        <f aca="false">G21*(1-Inputs!$B$7)</f>
        <v>1.2100088</v>
      </c>
      <c r="K21" s="21" t="n">
        <f aca="false">H21/(1-Inputs!$B$6)</f>
        <v>0.471416</v>
      </c>
      <c r="L21" s="21" t="n">
        <f aca="false">I21/(1-Inputs!$B$6)</f>
        <v>0.094248</v>
      </c>
      <c r="M21" s="21" t="n">
        <f aca="false">J21/(1-Inputs!$B$6)</f>
        <v>1.728584</v>
      </c>
      <c r="N21" s="21" t="n">
        <f aca="false">K21+$D21*(E21-K21)</f>
        <v>0.5357</v>
      </c>
      <c r="O21" s="21" t="n">
        <f aca="false">L21+$D21*(F21-L21)</f>
        <v>0.1071</v>
      </c>
      <c r="P21" s="21" t="n">
        <f aca="false">M21+$D21*(G21-M21)</f>
        <v>1.9643</v>
      </c>
      <c r="Q21" s="22" t="n">
        <f aca="false">N21*Inputs!$B$8+O21*Inputs!$B$9+P21*Inputs!$B$10</f>
        <v>0.7357</v>
      </c>
      <c r="R21" s="21" t="n">
        <f aca="false">H21*Inputs!$B$8+I21*Inputs!$B$9+J21*Inputs!$B$10</f>
        <v>0.4531912</v>
      </c>
      <c r="S21" s="10" t="n">
        <f aca="false">IF(Q21=0,0,(Q21-R21)/Q21)</f>
        <v>0.384</v>
      </c>
      <c r="T21" s="19" t="str">
        <f aca="false">IF(Inputs!$B$7&gt;Inputs!$B$6,"Yes","NO BAND")</f>
        <v>Yes</v>
      </c>
      <c r="U21" s="19" t="str">
        <f aca="false">IF(Q21&lt;=(E21*Inputs!$B$8+F21*Inputs!$B$9+G21*Inputs!$B$10)+0.000001,"Yes","BREACH")</f>
        <v>Yes</v>
      </c>
    </row>
    <row r="22" customFormat="false" ht="15" hidden="false" customHeight="false" outlineLevel="0" collapsed="false">
      <c r="A22" s="11" t="s">
        <v>185</v>
      </c>
      <c r="B22" s="19" t="s">
        <v>169</v>
      </c>
      <c r="C22" s="19" t="n">
        <v>2</v>
      </c>
      <c r="D22" s="20" t="n">
        <f aca="false">INDEX(Inputs!$C$15:$C$18,C22)</f>
        <v>0.5</v>
      </c>
      <c r="E22" s="12" t="n">
        <v>0.450016</v>
      </c>
      <c r="F22" s="12" t="n">
        <v>0.219968</v>
      </c>
      <c r="G22" s="12" t="n">
        <v>3.000032</v>
      </c>
      <c r="H22" s="21" t="n">
        <f aca="false">E22*(1-Inputs!$B$7)</f>
        <v>0.2475088</v>
      </c>
      <c r="I22" s="21" t="n">
        <f aca="false">F22*(1-Inputs!$B$7)</f>
        <v>0.1209824</v>
      </c>
      <c r="J22" s="21" t="n">
        <f aca="false">G22*(1-Inputs!$B$7)</f>
        <v>1.6500176</v>
      </c>
      <c r="K22" s="21" t="n">
        <f aca="false">H22/(1-Inputs!$B$6)</f>
        <v>0.353584</v>
      </c>
      <c r="L22" s="21" t="n">
        <f aca="false">I22/(1-Inputs!$B$6)</f>
        <v>0.172832</v>
      </c>
      <c r="M22" s="21" t="n">
        <f aca="false">J22/(1-Inputs!$B$6)</f>
        <v>2.357168</v>
      </c>
      <c r="N22" s="21" t="n">
        <f aca="false">K22+$D22*(E22-K22)</f>
        <v>0.4018</v>
      </c>
      <c r="O22" s="21" t="n">
        <f aca="false">L22+$D22*(F22-L22)</f>
        <v>0.1964</v>
      </c>
      <c r="P22" s="21" t="n">
        <f aca="false">M22+$D22*(G22-M22)</f>
        <v>2.6786</v>
      </c>
      <c r="Q22" s="22" t="n">
        <f aca="false">N22*Inputs!$B$8+O22*Inputs!$B$9+P22*Inputs!$B$10</f>
        <v>0.81608</v>
      </c>
      <c r="R22" s="21" t="n">
        <f aca="false">H22*Inputs!$B$8+I22*Inputs!$B$9+J22*Inputs!$B$10</f>
        <v>0.50270528</v>
      </c>
      <c r="S22" s="10" t="n">
        <f aca="false">IF(Q22=0,0,(Q22-R22)/Q22)</f>
        <v>0.384</v>
      </c>
      <c r="T22" s="19" t="str">
        <f aca="false">IF(Inputs!$B$7&gt;Inputs!$B$6,"Yes","NO BAND")</f>
        <v>Yes</v>
      </c>
      <c r="U22" s="19" t="str">
        <f aca="false">IF(Q22&lt;=(E22*Inputs!$B$8+F22*Inputs!$B$9+G22*Inputs!$B$10)+0.000001,"Yes","BREACH")</f>
        <v>Yes</v>
      </c>
    </row>
    <row r="23" customFormat="false" ht="15" hidden="false" customHeight="false" outlineLevel="0" collapsed="false">
      <c r="A23" s="11" t="s">
        <v>186</v>
      </c>
      <c r="B23" s="19" t="s">
        <v>169</v>
      </c>
      <c r="C23" s="19" t="n">
        <v>3</v>
      </c>
      <c r="D23" s="20" t="n">
        <f aca="false">INDEX(Inputs!$C$15:$C$18,C23)</f>
        <v>0.55</v>
      </c>
      <c r="E23" s="12" t="n">
        <v>0.739953</v>
      </c>
      <c r="F23" s="12" t="n">
        <v>0.14996</v>
      </c>
      <c r="G23" s="12" t="n">
        <v>3.5</v>
      </c>
      <c r="H23" s="21" t="n">
        <f aca="false">E23*(1-Inputs!$B$7)</f>
        <v>0.40697415</v>
      </c>
      <c r="I23" s="21" t="n">
        <f aca="false">F23*(1-Inputs!$B$7)</f>
        <v>0.082478</v>
      </c>
      <c r="J23" s="21" t="n">
        <f aca="false">G23*(1-Inputs!$B$7)</f>
        <v>1.925</v>
      </c>
      <c r="K23" s="21" t="n">
        <f aca="false">H23/(1-Inputs!$B$6)</f>
        <v>0.581391642857143</v>
      </c>
      <c r="L23" s="21" t="n">
        <f aca="false">I23/(1-Inputs!$B$6)</f>
        <v>0.117825714285714</v>
      </c>
      <c r="M23" s="21" t="n">
        <f aca="false">J23/(1-Inputs!$B$6)</f>
        <v>2.75</v>
      </c>
      <c r="N23" s="21" t="n">
        <f aca="false">K23+$D23*(E23-K23)</f>
        <v>0.668600389285714</v>
      </c>
      <c r="O23" s="21" t="n">
        <f aca="false">L23+$D23*(F23-L23)</f>
        <v>0.135499571428571</v>
      </c>
      <c r="P23" s="21" t="n">
        <f aca="false">M23+$D23*(G23-M23)</f>
        <v>3.1625</v>
      </c>
      <c r="Q23" s="22" t="n">
        <f aca="false">N23*Inputs!$B$8+O23*Inputs!$B$9+P23*Inputs!$B$10</f>
        <v>1.06076014785714</v>
      </c>
      <c r="R23" s="21" t="n">
        <f aca="false">H23*Inputs!$B$8+I23*Inputs!$B$9+J23*Inputs!$B$10</f>
        <v>0.64568009</v>
      </c>
      <c r="S23" s="10" t="n">
        <f aca="false">IF(Q23=0,0,(Q23-R23)/Q23)</f>
        <v>0.391304347826087</v>
      </c>
      <c r="T23" s="19" t="str">
        <f aca="false">IF(Inputs!$B$7&gt;Inputs!$B$6,"Yes","NO BAND")</f>
        <v>Yes</v>
      </c>
      <c r="U23" s="19" t="str">
        <f aca="false">IF(Q23&lt;=(E23*Inputs!$B$8+F23*Inputs!$B$9+G23*Inputs!$B$10)+0.000001,"Yes","BREACH")</f>
        <v>Yes</v>
      </c>
    </row>
    <row r="24" customFormat="false" ht="15" hidden="false" customHeight="false" outlineLevel="0" collapsed="false">
      <c r="A24" s="11" t="s">
        <v>187</v>
      </c>
      <c r="B24" s="19" t="s">
        <v>169</v>
      </c>
      <c r="C24" s="19" t="n">
        <v>3</v>
      </c>
      <c r="D24" s="20" t="n">
        <f aca="false">INDEX(Inputs!$C$15:$C$18,C24)</f>
        <v>0.55</v>
      </c>
      <c r="E24" s="12" t="n">
        <v>0.750024</v>
      </c>
      <c r="F24" s="12" t="n">
        <v>0.14996</v>
      </c>
      <c r="G24" s="12" t="n">
        <v>3.5</v>
      </c>
      <c r="H24" s="21" t="n">
        <f aca="false">E24*(1-Inputs!$B$7)</f>
        <v>0.4125132</v>
      </c>
      <c r="I24" s="21" t="n">
        <f aca="false">F24*(1-Inputs!$B$7)</f>
        <v>0.082478</v>
      </c>
      <c r="J24" s="21" t="n">
        <f aca="false">G24*(1-Inputs!$B$7)</f>
        <v>1.925</v>
      </c>
      <c r="K24" s="21" t="n">
        <f aca="false">H24/(1-Inputs!$B$6)</f>
        <v>0.589304571428572</v>
      </c>
      <c r="L24" s="21" t="n">
        <f aca="false">I24/(1-Inputs!$B$6)</f>
        <v>0.117825714285714</v>
      </c>
      <c r="M24" s="21" t="n">
        <f aca="false">J24/(1-Inputs!$B$6)</f>
        <v>2.75</v>
      </c>
      <c r="N24" s="21" t="n">
        <f aca="false">K24+$D24*(E24-K24)</f>
        <v>0.677700257142857</v>
      </c>
      <c r="O24" s="21" t="n">
        <f aca="false">L24+$D24*(F24-L24)</f>
        <v>0.135499571428571</v>
      </c>
      <c r="P24" s="21" t="n">
        <f aca="false">M24+$D24*(G24-M24)</f>
        <v>3.1625</v>
      </c>
      <c r="Q24" s="22" t="n">
        <f aca="false">N24*Inputs!$B$8+O24*Inputs!$B$9+P24*Inputs!$B$10</f>
        <v>1.06622006857143</v>
      </c>
      <c r="R24" s="21" t="n">
        <f aca="false">H24*Inputs!$B$8+I24*Inputs!$B$9+J24*Inputs!$B$10</f>
        <v>0.64900352</v>
      </c>
      <c r="S24" s="10" t="n">
        <f aca="false">IF(Q24=0,0,(Q24-R24)/Q24)</f>
        <v>0.391304347826087</v>
      </c>
      <c r="T24" s="19" t="str">
        <f aca="false">IF(Inputs!$B$7&gt;Inputs!$B$6,"Yes","NO BAND")</f>
        <v>Yes</v>
      </c>
      <c r="U24" s="19" t="str">
        <f aca="false">IF(Q24&lt;=(E24*Inputs!$B$8+F24*Inputs!$B$9+G24*Inputs!$B$10)+0.000001,"Yes","BREACH")</f>
        <v>Yes</v>
      </c>
    </row>
    <row r="25" customFormat="false" ht="15" hidden="false" customHeight="false" outlineLevel="0" collapsed="false">
      <c r="A25" s="11" t="s">
        <v>188</v>
      </c>
      <c r="B25" s="19" t="s">
        <v>169</v>
      </c>
      <c r="C25" s="19" t="n">
        <v>3</v>
      </c>
      <c r="D25" s="20" t="n">
        <f aca="false">INDEX(Inputs!$C$15:$C$18,C25)</f>
        <v>0.55</v>
      </c>
      <c r="E25" s="12" t="n">
        <v>0.929976</v>
      </c>
      <c r="F25" s="12" t="n">
        <v>0.179953</v>
      </c>
      <c r="G25" s="12" t="n">
        <v>2.999984</v>
      </c>
      <c r="H25" s="21" t="n">
        <f aca="false">E25*(1-Inputs!$B$7)</f>
        <v>0.5114868</v>
      </c>
      <c r="I25" s="21" t="n">
        <f aca="false">F25*(1-Inputs!$B$7)</f>
        <v>0.09897415</v>
      </c>
      <c r="J25" s="21" t="n">
        <f aca="false">G25*(1-Inputs!$B$7)</f>
        <v>1.6499912</v>
      </c>
      <c r="K25" s="21" t="n">
        <f aca="false">H25/(1-Inputs!$B$6)</f>
        <v>0.730695428571429</v>
      </c>
      <c r="L25" s="21" t="n">
        <f aca="false">I25/(1-Inputs!$B$6)</f>
        <v>0.141391642857143</v>
      </c>
      <c r="M25" s="21" t="n">
        <f aca="false">J25/(1-Inputs!$B$6)</f>
        <v>2.35713028571429</v>
      </c>
      <c r="N25" s="21" t="n">
        <f aca="false">K25+$D25*(E25-K25)</f>
        <v>0.840299742857143</v>
      </c>
      <c r="O25" s="21" t="n">
        <f aca="false">L25+$D25*(F25-L25)</f>
        <v>0.162600389285714</v>
      </c>
      <c r="P25" s="21" t="n">
        <f aca="false">M25+$D25*(G25-M25)</f>
        <v>2.71069982857143</v>
      </c>
      <c r="Q25" s="22" t="n">
        <f aca="false">N25*Inputs!$B$8+O25*Inputs!$B$9+P25*Inputs!$B$10</f>
        <v>1.07883988928571</v>
      </c>
      <c r="R25" s="21" t="n">
        <f aca="false">H25*Inputs!$B$8+I25*Inputs!$B$9+J25*Inputs!$B$10</f>
        <v>0.65668515</v>
      </c>
      <c r="S25" s="10" t="n">
        <f aca="false">IF(Q25=0,0,(Q25-R25)/Q25)</f>
        <v>0.391304347826087</v>
      </c>
      <c r="T25" s="19" t="str">
        <f aca="false">IF(Inputs!$B$7&gt;Inputs!$B$6,"Yes","NO BAND")</f>
        <v>Yes</v>
      </c>
      <c r="U25" s="19" t="str">
        <f aca="false">IF(Q25&lt;=(E25*Inputs!$B$8+F25*Inputs!$B$9+G25*Inputs!$B$10)+0.000001,"Yes","BREACH")</f>
        <v>Yes</v>
      </c>
    </row>
    <row r="26" customFormat="false" ht="15" hidden="false" customHeight="false" outlineLevel="0" collapsed="false">
      <c r="A26" s="11" t="s">
        <v>189</v>
      </c>
      <c r="B26" s="19" t="s">
        <v>169</v>
      </c>
      <c r="C26" s="19" t="n">
        <v>3</v>
      </c>
      <c r="D26" s="20" t="n">
        <f aca="false">INDEX(Inputs!$C$15:$C$18,C26)</f>
        <v>0.55</v>
      </c>
      <c r="E26" s="12" t="n">
        <v>1.000032</v>
      </c>
      <c r="F26" s="12" t="n">
        <v>0.199984</v>
      </c>
      <c r="G26" s="12" t="n">
        <v>2.999984</v>
      </c>
      <c r="H26" s="21" t="n">
        <f aca="false">E26*(1-Inputs!$B$7)</f>
        <v>0.5500176</v>
      </c>
      <c r="I26" s="21" t="n">
        <f aca="false">F26*(1-Inputs!$B$7)</f>
        <v>0.1099912</v>
      </c>
      <c r="J26" s="21" t="n">
        <f aca="false">G26*(1-Inputs!$B$7)</f>
        <v>1.6499912</v>
      </c>
      <c r="K26" s="21" t="n">
        <f aca="false">H26/(1-Inputs!$B$6)</f>
        <v>0.785739428571429</v>
      </c>
      <c r="L26" s="21" t="n">
        <f aca="false">I26/(1-Inputs!$B$6)</f>
        <v>0.157130285714286</v>
      </c>
      <c r="M26" s="21" t="n">
        <f aca="false">J26/(1-Inputs!$B$6)</f>
        <v>2.35713028571429</v>
      </c>
      <c r="N26" s="21" t="n">
        <f aca="false">K26+$D26*(E26-K26)</f>
        <v>0.903600342857143</v>
      </c>
      <c r="O26" s="21" t="n">
        <f aca="false">L26+$D26*(F26-L26)</f>
        <v>0.180699828571429</v>
      </c>
      <c r="P26" s="21" t="n">
        <f aca="false">M26+$D26*(G26-M26)</f>
        <v>2.71069982857143</v>
      </c>
      <c r="Q26" s="22" t="n">
        <f aca="false">N26*Inputs!$B$8+O26*Inputs!$B$9+P26*Inputs!$B$10</f>
        <v>1.12044013714286</v>
      </c>
      <c r="R26" s="21" t="n">
        <f aca="false">H26*Inputs!$B$8+I26*Inputs!$B$9+J26*Inputs!$B$10</f>
        <v>0.68200704</v>
      </c>
      <c r="S26" s="10" t="n">
        <f aca="false">IF(Q26=0,0,(Q26-R26)/Q26)</f>
        <v>0.391304347826087</v>
      </c>
      <c r="T26" s="19" t="str">
        <f aca="false">IF(Inputs!$B$7&gt;Inputs!$B$6,"Yes","NO BAND")</f>
        <v>Yes</v>
      </c>
      <c r="U26" s="19" t="str">
        <f aca="false">IF(Q26&lt;=(E26*Inputs!$B$8+F26*Inputs!$B$9+G26*Inputs!$B$10)+0.000001,"Yes","BREACH")</f>
        <v>Yes</v>
      </c>
    </row>
    <row r="27" customFormat="false" ht="15" hidden="false" customHeight="false" outlineLevel="0" collapsed="false">
      <c r="A27" s="11" t="s">
        <v>190</v>
      </c>
      <c r="B27" s="19" t="s">
        <v>169</v>
      </c>
      <c r="C27" s="19" t="n">
        <v>3</v>
      </c>
      <c r="D27" s="20" t="n">
        <f aca="false">INDEX(Inputs!$C$15:$C$18,C27)</f>
        <v>0.55</v>
      </c>
      <c r="E27" s="12" t="n">
        <v>1.299953</v>
      </c>
      <c r="F27" s="12" t="n">
        <v>0.100047</v>
      </c>
      <c r="G27" s="12" t="n">
        <v>2.600016</v>
      </c>
      <c r="H27" s="21" t="n">
        <f aca="false">E27*(1-Inputs!$B$7)</f>
        <v>0.71497415</v>
      </c>
      <c r="I27" s="21" t="n">
        <f aca="false">F27*(1-Inputs!$B$7)</f>
        <v>0.05502585</v>
      </c>
      <c r="J27" s="21" t="n">
        <f aca="false">G27*(1-Inputs!$B$7)</f>
        <v>1.4300088</v>
      </c>
      <c r="K27" s="21" t="n">
        <f aca="false">H27/(1-Inputs!$B$6)</f>
        <v>1.02139164285714</v>
      </c>
      <c r="L27" s="21" t="n">
        <f aca="false">I27/(1-Inputs!$B$6)</f>
        <v>0.0786083571428572</v>
      </c>
      <c r="M27" s="21" t="n">
        <f aca="false">J27/(1-Inputs!$B$6)</f>
        <v>2.04286971428571</v>
      </c>
      <c r="N27" s="21" t="n">
        <f aca="false">K27+$D27*(E27-K27)</f>
        <v>1.17460038928571</v>
      </c>
      <c r="O27" s="21" t="n">
        <f aca="false">L27+$D27*(F27-L27)</f>
        <v>0.0903996107142857</v>
      </c>
      <c r="P27" s="21" t="n">
        <f aca="false">M27+$D27*(G27-M27)</f>
        <v>2.34930017142857</v>
      </c>
      <c r="Q27" s="22" t="n">
        <f aca="false">N27*Inputs!$B$8+O27*Inputs!$B$9+P27*Inputs!$B$10</f>
        <v>1.19270019</v>
      </c>
      <c r="R27" s="21" t="n">
        <f aca="false">H27*Inputs!$B$8+I27*Inputs!$B$9+J27*Inputs!$B$10</f>
        <v>0.72599142</v>
      </c>
      <c r="S27" s="10" t="n">
        <f aca="false">IF(Q27=0,0,(Q27-R27)/Q27)</f>
        <v>0.391304347826087</v>
      </c>
      <c r="T27" s="19" t="str">
        <f aca="false">IF(Inputs!$B$7&gt;Inputs!$B$6,"Yes","NO BAND")</f>
        <v>Yes</v>
      </c>
      <c r="U27" s="19" t="str">
        <f aca="false">IF(Q27&lt;=(E27*Inputs!$B$8+F27*Inputs!$B$9+G27*Inputs!$B$10)+0.000001,"Yes","BREACH")</f>
        <v>Yes</v>
      </c>
    </row>
    <row r="28" customFormat="false" ht="15" hidden="false" customHeight="false" outlineLevel="0" collapsed="false">
      <c r="A28" s="11" t="s">
        <v>191</v>
      </c>
      <c r="B28" s="19" t="s">
        <v>169</v>
      </c>
      <c r="C28" s="19" t="n">
        <v>3</v>
      </c>
      <c r="D28" s="20" t="n">
        <f aca="false">INDEX(Inputs!$C$15:$C$18,C28)</f>
        <v>0.55</v>
      </c>
      <c r="E28" s="12" t="n">
        <v>1.050055</v>
      </c>
      <c r="F28" s="12" t="n">
        <v>0.204964</v>
      </c>
      <c r="G28" s="12" t="n">
        <v>3.5</v>
      </c>
      <c r="H28" s="21" t="n">
        <f aca="false">E28*(1-Inputs!$B$7)</f>
        <v>0.57753025</v>
      </c>
      <c r="I28" s="21" t="n">
        <f aca="false">F28*(1-Inputs!$B$7)</f>
        <v>0.1127302</v>
      </c>
      <c r="J28" s="21" t="n">
        <f aca="false">G28*(1-Inputs!$B$7)</f>
        <v>1.925</v>
      </c>
      <c r="K28" s="21" t="n">
        <f aca="false">H28/(1-Inputs!$B$6)</f>
        <v>0.825043214285714</v>
      </c>
      <c r="L28" s="21" t="n">
        <f aca="false">I28/(1-Inputs!$B$6)</f>
        <v>0.161043142857143</v>
      </c>
      <c r="M28" s="21" t="n">
        <f aca="false">J28/(1-Inputs!$B$6)</f>
        <v>2.75</v>
      </c>
      <c r="N28" s="21" t="n">
        <f aca="false">K28+$D28*(E28-K28)</f>
        <v>0.948799696428571</v>
      </c>
      <c r="O28" s="21" t="n">
        <f aca="false">L28+$D28*(F28-L28)</f>
        <v>0.185199614285714</v>
      </c>
      <c r="P28" s="21" t="n">
        <f aca="false">M28+$D28*(G28-M28)</f>
        <v>3.1625</v>
      </c>
      <c r="Q28" s="22" t="n">
        <f aca="false">N28*Inputs!$B$8+O28*Inputs!$B$9+P28*Inputs!$B$10</f>
        <v>1.23881974071429</v>
      </c>
      <c r="R28" s="21" t="n">
        <f aca="false">H28*Inputs!$B$8+I28*Inputs!$B$9+J28*Inputs!$B$10</f>
        <v>0.75406419</v>
      </c>
      <c r="S28" s="10" t="n">
        <f aca="false">IF(Q28=0,0,(Q28-R28)/Q28)</f>
        <v>0.391304347826087</v>
      </c>
      <c r="T28" s="19" t="str">
        <f aca="false">IF(Inputs!$B$7&gt;Inputs!$B$6,"Yes","NO BAND")</f>
        <v>Yes</v>
      </c>
      <c r="U28" s="19" t="str">
        <f aca="false">IF(Q28&lt;=(E28*Inputs!$B$8+F28*Inputs!$B$9+G28*Inputs!$B$10)+0.000001,"Yes","BREACH")</f>
        <v>Yes</v>
      </c>
    </row>
    <row r="29" customFormat="false" ht="15" hidden="false" customHeight="false" outlineLevel="0" collapsed="false">
      <c r="A29" s="11" t="s">
        <v>192</v>
      </c>
      <c r="B29" s="19" t="s">
        <v>184</v>
      </c>
      <c r="C29" s="19" t="n">
        <v>3</v>
      </c>
      <c r="D29" s="20" t="n">
        <f aca="false">INDEX(Inputs!$C$15:$C$18,C29)</f>
        <v>0.55</v>
      </c>
      <c r="E29" s="12" t="n">
        <v>1.000032</v>
      </c>
      <c r="F29" s="12" t="n">
        <v>0.169992</v>
      </c>
      <c r="G29" s="12" t="n">
        <v>4.05004</v>
      </c>
      <c r="H29" s="21" t="n">
        <f aca="false">E29*(1-Inputs!$B$7)</f>
        <v>0.5500176</v>
      </c>
      <c r="I29" s="21" t="n">
        <f aca="false">F29*(1-Inputs!$B$7)</f>
        <v>0.0934956</v>
      </c>
      <c r="J29" s="21" t="n">
        <f aca="false">G29*(1-Inputs!$B$7)</f>
        <v>2.227522</v>
      </c>
      <c r="K29" s="21" t="n">
        <f aca="false">H29/(1-Inputs!$B$6)</f>
        <v>0.785739428571429</v>
      </c>
      <c r="L29" s="21" t="n">
        <f aca="false">I29/(1-Inputs!$B$6)</f>
        <v>0.133565142857143</v>
      </c>
      <c r="M29" s="21" t="n">
        <f aca="false">J29/(1-Inputs!$B$6)</f>
        <v>3.18217428571429</v>
      </c>
      <c r="N29" s="21" t="n">
        <f aca="false">K29+$D29*(E29-K29)</f>
        <v>0.903600342857143</v>
      </c>
      <c r="O29" s="21" t="n">
        <f aca="false">L29+$D29*(F29-L29)</f>
        <v>0.153599914285714</v>
      </c>
      <c r="P29" s="21" t="n">
        <f aca="false">M29+$D29*(G29-M29)</f>
        <v>3.65950042857143</v>
      </c>
      <c r="Q29" s="22" t="n">
        <f aca="false">N29*Inputs!$B$8+O29*Inputs!$B$9+P29*Inputs!$B$10</f>
        <v>1.30478027428571</v>
      </c>
      <c r="R29" s="21" t="n">
        <f aca="false">H29*Inputs!$B$8+I29*Inputs!$B$9+J29*Inputs!$B$10</f>
        <v>0.79421408</v>
      </c>
      <c r="S29" s="10" t="n">
        <f aca="false">IF(Q29=0,0,(Q29-R29)/Q29)</f>
        <v>0.391304347826087</v>
      </c>
      <c r="T29" s="19" t="str">
        <f aca="false">IF(Inputs!$B$7&gt;Inputs!$B$6,"Yes","NO BAND")</f>
        <v>Yes</v>
      </c>
      <c r="U29" s="19" t="str">
        <f aca="false">IF(Q29&lt;=(E29*Inputs!$B$8+F29*Inputs!$B$9+G29*Inputs!$B$10)+0.000001,"Yes","BREACH")</f>
        <v>Yes</v>
      </c>
    </row>
    <row r="30" customFormat="false" ht="15" hidden="false" customHeight="false" outlineLevel="0" collapsed="false">
      <c r="A30" s="11" t="s">
        <v>193</v>
      </c>
      <c r="B30" s="19" t="s">
        <v>169</v>
      </c>
      <c r="C30" s="19" t="n">
        <v>4</v>
      </c>
      <c r="D30" s="20" t="n">
        <f aca="false">INDEX(Inputs!$C$15:$C$18,C30)</f>
        <v>0.6</v>
      </c>
      <c r="E30" s="12" t="n">
        <v>1.199953</v>
      </c>
      <c r="F30" s="12" t="n">
        <v>0.239969</v>
      </c>
      <c r="G30" s="12" t="n">
        <v>5.999984</v>
      </c>
      <c r="H30" s="21" t="n">
        <f aca="false">E30*(1-Inputs!$B$7)</f>
        <v>0.65997415</v>
      </c>
      <c r="I30" s="21" t="n">
        <f aca="false">F30*(1-Inputs!$B$7)</f>
        <v>0.13198295</v>
      </c>
      <c r="J30" s="21" t="n">
        <f aca="false">G30*(1-Inputs!$B$7)</f>
        <v>3.2999912</v>
      </c>
      <c r="K30" s="21" t="n">
        <f aca="false">H30/(1-Inputs!$B$6)</f>
        <v>0.942820214285714</v>
      </c>
      <c r="L30" s="21" t="n">
        <f aca="false">I30/(1-Inputs!$B$6)</f>
        <v>0.188547071428571</v>
      </c>
      <c r="M30" s="21" t="n">
        <f aca="false">J30/(1-Inputs!$B$6)</f>
        <v>4.71427314285714</v>
      </c>
      <c r="N30" s="21" t="n">
        <f aca="false">K30+$D30*(E30-K30)</f>
        <v>1.09709988571429</v>
      </c>
      <c r="O30" s="21" t="n">
        <f aca="false">L30+$D30*(F30-L30)</f>
        <v>0.219400228571429</v>
      </c>
      <c r="P30" s="21" t="n">
        <f aca="false">M30+$D30*(G30-M30)</f>
        <v>5.48569965714286</v>
      </c>
      <c r="Q30" s="22" t="n">
        <f aca="false">N30*Inputs!$B$8+O30*Inputs!$B$9+P30*Inputs!$B$10</f>
        <v>1.79927990857143</v>
      </c>
      <c r="R30" s="21" t="n">
        <f aca="false">H30*Inputs!$B$8+I30*Inputs!$B$9+J30*Inputs!$B$10</f>
        <v>1.08237932</v>
      </c>
      <c r="S30" s="10" t="n">
        <f aca="false">IF(Q30=0,0,(Q30-R30)/Q30)</f>
        <v>0.3984375</v>
      </c>
      <c r="T30" s="19" t="str">
        <f aca="false">IF(Inputs!$B$7&gt;Inputs!$B$6,"Yes","NO BAND")</f>
        <v>Yes</v>
      </c>
      <c r="U30" s="19" t="str">
        <f aca="false">IF(Q30&lt;=(E30*Inputs!$B$8+F30*Inputs!$B$9+G30*Inputs!$B$10)+0.000001,"Yes","BREACH")</f>
        <v>Yes</v>
      </c>
    </row>
    <row r="31" customFormat="false" ht="15" hidden="false" customHeight="false" outlineLevel="0" collapsed="false">
      <c r="A31" s="11" t="s">
        <v>194</v>
      </c>
      <c r="B31" s="19" t="s">
        <v>169</v>
      </c>
      <c r="C31" s="19" t="n">
        <v>4</v>
      </c>
      <c r="D31" s="20" t="n">
        <f aca="false">INDEX(Inputs!$C$15:$C$18,C31)</f>
        <v>0.6</v>
      </c>
      <c r="E31" s="12" t="n">
        <v>1.199953</v>
      </c>
      <c r="F31" s="12" t="n">
        <v>0.239969</v>
      </c>
      <c r="G31" s="12" t="n">
        <v>5.999984</v>
      </c>
      <c r="H31" s="21" t="n">
        <f aca="false">E31*(1-Inputs!$B$7)</f>
        <v>0.65997415</v>
      </c>
      <c r="I31" s="21" t="n">
        <f aca="false">F31*(1-Inputs!$B$7)</f>
        <v>0.13198295</v>
      </c>
      <c r="J31" s="21" t="n">
        <f aca="false">G31*(1-Inputs!$B$7)</f>
        <v>3.2999912</v>
      </c>
      <c r="K31" s="21" t="n">
        <f aca="false">H31/(1-Inputs!$B$6)</f>
        <v>0.942820214285714</v>
      </c>
      <c r="L31" s="21" t="n">
        <f aca="false">I31/(1-Inputs!$B$6)</f>
        <v>0.188547071428571</v>
      </c>
      <c r="M31" s="21" t="n">
        <f aca="false">J31/(1-Inputs!$B$6)</f>
        <v>4.71427314285714</v>
      </c>
      <c r="N31" s="21" t="n">
        <f aca="false">K31+$D31*(E31-K31)</f>
        <v>1.09709988571429</v>
      </c>
      <c r="O31" s="21" t="n">
        <f aca="false">L31+$D31*(F31-L31)</f>
        <v>0.219400228571429</v>
      </c>
      <c r="P31" s="21" t="n">
        <f aca="false">M31+$D31*(G31-M31)</f>
        <v>5.48569965714286</v>
      </c>
      <c r="Q31" s="22" t="n">
        <f aca="false">N31*Inputs!$B$8+O31*Inputs!$B$9+P31*Inputs!$B$10</f>
        <v>1.79927990857143</v>
      </c>
      <c r="R31" s="21" t="n">
        <f aca="false">H31*Inputs!$B$8+I31*Inputs!$B$9+J31*Inputs!$B$10</f>
        <v>1.08237932</v>
      </c>
      <c r="S31" s="10" t="n">
        <f aca="false">IF(Q31=0,0,(Q31-R31)/Q31)</f>
        <v>0.3984375</v>
      </c>
      <c r="T31" s="19" t="str">
        <f aca="false">IF(Inputs!$B$7&gt;Inputs!$B$6,"Yes","NO BAND")</f>
        <v>Yes</v>
      </c>
      <c r="U31" s="19" t="str">
        <f aca="false">IF(Q31&lt;=(E31*Inputs!$B$8+F31*Inputs!$B$9+G31*Inputs!$B$10)+0.000001,"Yes","BREACH")</f>
        <v>Yes</v>
      </c>
    </row>
    <row r="32" customFormat="false" ht="15" hidden="false" customHeight="false" outlineLevel="0" collapsed="false">
      <c r="A32" s="11" t="s">
        <v>195</v>
      </c>
      <c r="B32" s="19" t="s">
        <v>169</v>
      </c>
      <c r="C32" s="19" t="n">
        <v>4</v>
      </c>
      <c r="D32" s="20" t="n">
        <f aca="false">INDEX(Inputs!$C$15:$C$18,C32)</f>
        <v>0.6</v>
      </c>
      <c r="E32" s="12" t="n">
        <v>2.499984</v>
      </c>
      <c r="F32" s="12" t="n">
        <v>0.499953</v>
      </c>
      <c r="G32" s="12" t="n">
        <v>7.499953</v>
      </c>
      <c r="H32" s="21" t="n">
        <f aca="false">E32*(1-Inputs!$B$7)</f>
        <v>1.3749912</v>
      </c>
      <c r="I32" s="21" t="n">
        <f aca="false">F32*(1-Inputs!$B$7)</f>
        <v>0.27497415</v>
      </c>
      <c r="J32" s="21" t="n">
        <f aca="false">G32*(1-Inputs!$B$7)</f>
        <v>4.12497415</v>
      </c>
      <c r="K32" s="21" t="n">
        <f aca="false">H32/(1-Inputs!$B$6)</f>
        <v>1.96427314285714</v>
      </c>
      <c r="L32" s="21" t="n">
        <f aca="false">I32/(1-Inputs!$B$6)</f>
        <v>0.392820214285714</v>
      </c>
      <c r="M32" s="21" t="n">
        <f aca="false">J32/(1-Inputs!$B$6)</f>
        <v>5.89282021428572</v>
      </c>
      <c r="N32" s="21" t="n">
        <f aca="false">K32+$D32*(E32-K32)</f>
        <v>2.28569965714286</v>
      </c>
      <c r="O32" s="21" t="n">
        <f aca="false">L32+$D32*(F32-L32)</f>
        <v>0.457099885714286</v>
      </c>
      <c r="P32" s="21" t="n">
        <f aca="false">M32+$D32*(G32-M32)</f>
        <v>6.85709988571429</v>
      </c>
      <c r="Q32" s="22" t="n">
        <f aca="false">N32*Inputs!$B$8+O32*Inputs!$B$9+P32*Inputs!$B$10</f>
        <v>2.83425974857143</v>
      </c>
      <c r="R32" s="21" t="n">
        <f aca="false">H32*Inputs!$B$8+I32*Inputs!$B$9+J32*Inputs!$B$10</f>
        <v>1.70498438</v>
      </c>
      <c r="S32" s="10" t="n">
        <f aca="false">IF(Q32=0,0,(Q32-R32)/Q32)</f>
        <v>0.3984375</v>
      </c>
      <c r="T32" s="19" t="str">
        <f aca="false">IF(Inputs!$B$7&gt;Inputs!$B$6,"Yes","NO BAND")</f>
        <v>Yes</v>
      </c>
      <c r="U32" s="19" t="str">
        <f aca="false">IF(Q32&lt;=(E32*Inputs!$B$8+F32*Inputs!$B$9+G32*Inputs!$B$10)+0.000001,"Yes","BREACH")</f>
        <v>Yes</v>
      </c>
    </row>
    <row r="34" customFormat="false" ht="15" hidden="false" customHeight="false" outlineLevel="0" collapsed="false">
      <c r="A34" s="3" t="s">
        <v>196</v>
      </c>
    </row>
    <row r="35" customFormat="false" ht="35.05" hidden="false" customHeight="false" outlineLevel="0" collapsed="false">
      <c r="A35" s="6" t="s">
        <v>89</v>
      </c>
      <c r="B35" s="6" t="s">
        <v>197</v>
      </c>
      <c r="C35" s="6" t="s">
        <v>198</v>
      </c>
      <c r="D35" s="6" t="s">
        <v>199</v>
      </c>
      <c r="E35" s="6" t="s">
        <v>165</v>
      </c>
      <c r="F35" s="6" t="s">
        <v>200</v>
      </c>
      <c r="G35" s="6" t="s">
        <v>201</v>
      </c>
      <c r="H35" s="6" t="s">
        <v>202</v>
      </c>
      <c r="I35" s="6" t="s">
        <v>50</v>
      </c>
      <c r="J35" s="6" t="s">
        <v>203</v>
      </c>
      <c r="K35" s="6" t="s">
        <v>204</v>
      </c>
      <c r="L35" s="6" t="s">
        <v>48</v>
      </c>
      <c r="M35" s="6" t="s">
        <v>205</v>
      </c>
      <c r="N35" s="6" t="s">
        <v>206</v>
      </c>
      <c r="O35" s="6" t="s">
        <v>207</v>
      </c>
      <c r="P35" s="6" t="s">
        <v>208</v>
      </c>
      <c r="Q35" s="6" t="s">
        <v>209</v>
      </c>
      <c r="R35" s="6" t="s">
        <v>210</v>
      </c>
    </row>
    <row r="36" customFormat="false" ht="15" hidden="false" customHeight="false" outlineLevel="0" collapsed="false">
      <c r="A36" s="11" t="s">
        <v>91</v>
      </c>
      <c r="B36" s="23" t="n">
        <f aca="false">COUNTIF($C$7:$C$32,1)</f>
        <v>7</v>
      </c>
      <c r="C36" s="21" t="n">
        <f aca="false">SUMIF($C$7:$C$32,1,$Q$7:$Q$32)/B36</f>
        <v>0.200379895918367</v>
      </c>
      <c r="D36" s="21" t="n">
        <f aca="false">SUMIF($C$7:$C$32,1,$R$7:$R$32)/B36</f>
        <v>0.126469278571429</v>
      </c>
      <c r="E36" s="10" t="n">
        <f aca="false">(C36-D36)/C36</f>
        <v>0.368852459016393</v>
      </c>
      <c r="F36" s="21" t="n">
        <f aca="false">_xlfn.MINIFS($Q$7:$Q$32,$C$7:$C$32,1)</f>
        <v>0.0815597885714286</v>
      </c>
      <c r="G36" s="21" t="n">
        <f aca="false">_xlfn.MAXIFS($Q$7:$Q$32,$C$7:$C$32,1)</f>
        <v>0.329419694285714</v>
      </c>
      <c r="H36" s="24" t="n">
        <f aca="false">G36/F36</f>
        <v>4.03899642281704</v>
      </c>
      <c r="I36" s="25" t="n">
        <f aca="false">Inputs!D15</f>
        <v>0.55</v>
      </c>
      <c r="J36" s="10" t="n">
        <f aca="false">I36*C36/SUMPRODUCT($I$36:$I$39,$C$36:$C$39)</f>
        <v>0.189420844719449</v>
      </c>
      <c r="K36" s="21" t="n">
        <f aca="false">D36/(1-Inputs!$B$7)</f>
        <v>0.229944142857143</v>
      </c>
      <c r="L36" s="20" t="n">
        <f aca="false">Inputs!C15</f>
        <v>0.4</v>
      </c>
      <c r="M36" s="21" t="n">
        <f aca="false">SUMIF($C$7:$C$32,1,$N$7:$N$32)/B36</f>
        <v>0.139428446938776</v>
      </c>
      <c r="N36" s="21" t="n">
        <f aca="false">SUMIF($C$7:$C$32,1,$O$7:$O$32)/B36</f>
        <v>0.0557713040816327</v>
      </c>
      <c r="O36" s="21" t="n">
        <f aca="false">SUMIF($C$7:$C$32,1,$P$7:$P$32)/B36</f>
        <v>0.527842834693878</v>
      </c>
      <c r="P36" s="21" t="n">
        <f aca="false">SUMIF($C$7:$C$32,1,$H$7:$H$32)/B36</f>
        <v>0.0879999214285714</v>
      </c>
      <c r="Q36" s="21" t="n">
        <f aca="false">SUMIF($C$7:$C$32,1,$I$7:$I$32)/B36</f>
        <v>0.0351999214285714</v>
      </c>
      <c r="R36" s="21" t="n">
        <f aca="false">SUMIF($C$7:$C$32,1,$J$7:$J$32)/B36</f>
        <v>0.333146707142857</v>
      </c>
    </row>
    <row r="37" customFormat="false" ht="15" hidden="false" customHeight="false" outlineLevel="0" collapsed="false">
      <c r="A37" s="11" t="s">
        <v>93</v>
      </c>
      <c r="B37" s="23" t="n">
        <f aca="false">COUNTIF($C$7:$C$32,2)</f>
        <v>9</v>
      </c>
      <c r="C37" s="21" t="n">
        <f aca="false">SUMIF($C$7:$C$32,2,$Q$7:$Q$32)/B37</f>
        <v>0.647417777777778</v>
      </c>
      <c r="D37" s="21" t="n">
        <f aca="false">SUMIF($C$7:$C$32,2,$R$7:$R$32)/B37</f>
        <v>0.398809351111111</v>
      </c>
      <c r="E37" s="10" t="n">
        <f aca="false">(C37-D37)/C37</f>
        <v>0.384</v>
      </c>
      <c r="F37" s="21" t="n">
        <f aca="false">_xlfn.MINIFS($Q$7:$Q$32,$C$7:$C$32,2)</f>
        <v>0.35718</v>
      </c>
      <c r="G37" s="21" t="n">
        <f aca="false">_xlfn.MAXIFS($Q$7:$Q$32,$C$7:$C$32,2)</f>
        <v>0.81608</v>
      </c>
      <c r="H37" s="24" t="n">
        <f aca="false">G37/F37</f>
        <v>2.28478638221625</v>
      </c>
      <c r="I37" s="25" t="n">
        <f aca="false">Inputs!D16</f>
        <v>0.25</v>
      </c>
      <c r="J37" s="10" t="n">
        <f aca="false">I37*C37/SUMPRODUCT($I$36:$I$39,$C$36:$C$39)</f>
        <v>0.27818618727149</v>
      </c>
      <c r="K37" s="21" t="n">
        <f aca="false">D37/(1-Inputs!$B$7)</f>
        <v>0.725107911111111</v>
      </c>
      <c r="L37" s="20" t="n">
        <f aca="false">Inputs!C16</f>
        <v>0.5</v>
      </c>
      <c r="M37" s="21" t="n">
        <f aca="false">SUMIF($C$7:$C$32,2,$N$7:$N$32)/B37</f>
        <v>0.3998</v>
      </c>
      <c r="N37" s="21" t="n">
        <f aca="false">SUMIF($C$7:$C$32,2,$O$7:$O$32)/B37</f>
        <v>0.134911111111111</v>
      </c>
      <c r="O37" s="21" t="n">
        <f aca="false">SUMIF($C$7:$C$32,2,$P$7:$P$32)/B37</f>
        <v>1.90277777777778</v>
      </c>
      <c r="P37" s="21" t="n">
        <f aca="false">SUMIF($C$7:$C$32,2,$H$7:$H$32)/B37</f>
        <v>0.2462768</v>
      </c>
      <c r="Q37" s="21" t="n">
        <f aca="false">SUMIF($C$7:$C$32,2,$I$7:$I$32)/B37</f>
        <v>0.0831052444444445</v>
      </c>
      <c r="R37" s="21" t="n">
        <f aca="false">SUMIF($C$7:$C$32,2,$J$7:$J$32)/B37</f>
        <v>1.17211111111111</v>
      </c>
    </row>
    <row r="38" customFormat="false" ht="15" hidden="false" customHeight="false" outlineLevel="0" collapsed="false">
      <c r="A38" s="11" t="s">
        <v>95</v>
      </c>
      <c r="B38" s="23" t="n">
        <f aca="false">COUNTIF($C$7:$C$32,3)</f>
        <v>7</v>
      </c>
      <c r="C38" s="21" t="n">
        <f aca="false">SUMIF($C$7:$C$32,3,$Q$7:$Q$32)/B38</f>
        <v>1.15179434969388</v>
      </c>
      <c r="D38" s="21" t="n">
        <f aca="false">SUMIF($C$7:$C$32,3,$R$7:$R$32)/B38</f>
        <v>0.701092212857143</v>
      </c>
      <c r="E38" s="10" t="n">
        <f aca="false">(C38-D38)/C38</f>
        <v>0.391304347826087</v>
      </c>
      <c r="F38" s="21" t="n">
        <f aca="false">_xlfn.MINIFS($Q$7:$Q$32,$C$7:$C$32,3)</f>
        <v>1.06076014785714</v>
      </c>
      <c r="G38" s="21" t="n">
        <f aca="false">_xlfn.MAXIFS($Q$7:$Q$32,$C$7:$C$32,3)</f>
        <v>1.30478027428571</v>
      </c>
      <c r="H38" s="24" t="n">
        <f aca="false">G38/F38</f>
        <v>1.23004269807979</v>
      </c>
      <c r="I38" s="25" t="n">
        <f aca="false">Inputs!D17</f>
        <v>0.12</v>
      </c>
      <c r="J38" s="10" t="n">
        <f aca="false">I38*C38/SUMPRODUCT($I$36:$I$39,$C$36:$C$39)</f>
        <v>0.237556611877036</v>
      </c>
      <c r="K38" s="21" t="n">
        <f aca="false">D38/(1-Inputs!$B$7)</f>
        <v>1.27471311428571</v>
      </c>
      <c r="L38" s="20" t="n">
        <f aca="false">Inputs!C17</f>
        <v>0.55</v>
      </c>
      <c r="M38" s="21" t="n">
        <f aca="false">SUMIF($C$7:$C$32,3,$N$7:$N$32)/B38</f>
        <v>0.873885880102041</v>
      </c>
      <c r="N38" s="21" t="n">
        <f aca="false">SUMIF($C$7:$C$32,3,$O$7:$O$32)/B38</f>
        <v>0.149071214285714</v>
      </c>
      <c r="O38" s="21" t="n">
        <f aca="false">SUMIF($C$7:$C$32,3,$P$7:$P$32)/B38</f>
        <v>2.98824289387755</v>
      </c>
      <c r="P38" s="21" t="n">
        <f aca="false">SUMIF($C$7:$C$32,3,$H$7:$H$32)/B38</f>
        <v>0.531930535714286</v>
      </c>
      <c r="Q38" s="21" t="n">
        <f aca="false">SUMIF($C$7:$C$32,3,$I$7:$I$32)/B38</f>
        <v>0.090739</v>
      </c>
      <c r="R38" s="21" t="n">
        <f aca="false">SUMIF($C$7:$C$32,3,$J$7:$J$32)/B38</f>
        <v>1.81893045714286</v>
      </c>
    </row>
    <row r="39" customFormat="false" ht="15" hidden="false" customHeight="false" outlineLevel="0" collapsed="false">
      <c r="A39" s="11" t="s">
        <v>96</v>
      </c>
      <c r="B39" s="23" t="n">
        <f aca="false">COUNTIF($C$7:$C$32,4)</f>
        <v>3</v>
      </c>
      <c r="C39" s="21" t="n">
        <f aca="false">SUMIF($C$7:$C$32,4,$Q$7:$Q$32)/B39</f>
        <v>2.14427318857143</v>
      </c>
      <c r="D39" s="21" t="n">
        <f aca="false">SUMIF($C$7:$C$32,4,$R$7:$R$32)/B39</f>
        <v>1.28991434</v>
      </c>
      <c r="E39" s="10" t="n">
        <f aca="false">(C39-D39)/C39</f>
        <v>0.3984375</v>
      </c>
      <c r="F39" s="21" t="n">
        <f aca="false">_xlfn.MINIFS($Q$7:$Q$32,$C$7:$C$32,4)</f>
        <v>1.79927990857143</v>
      </c>
      <c r="G39" s="21" t="n">
        <f aca="false">_xlfn.MAXIFS($Q$7:$Q$32,$C$7:$C$32,4)</f>
        <v>2.83425974857143</v>
      </c>
      <c r="H39" s="24" t="n">
        <f aca="false">G39/F39</f>
        <v>1.57521891678418</v>
      </c>
      <c r="I39" s="25" t="n">
        <f aca="false">Inputs!D18</f>
        <v>0.08</v>
      </c>
      <c r="J39" s="10" t="n">
        <f aca="false">I39*C39/SUMPRODUCT($I$36:$I$39,$C$36:$C$39)</f>
        <v>0.294836356132025</v>
      </c>
      <c r="K39" s="21" t="n">
        <f aca="false">D39/(1-Inputs!$B$7)</f>
        <v>2.3452988</v>
      </c>
      <c r="L39" s="20" t="n">
        <f aca="false">Inputs!C18</f>
        <v>0.6</v>
      </c>
      <c r="M39" s="21" t="n">
        <f aca="false">SUMIF($C$7:$C$32,4,$N$7:$N$32)/B39</f>
        <v>1.49329980952381</v>
      </c>
      <c r="N39" s="21" t="n">
        <f aca="false">SUMIF($C$7:$C$32,4,$O$7:$O$32)/B39</f>
        <v>0.298633447619048</v>
      </c>
      <c r="O39" s="21" t="n">
        <f aca="false">SUMIF($C$7:$C$32,4,$P$7:$P$32)/B39</f>
        <v>5.94283306666667</v>
      </c>
      <c r="P39" s="21" t="n">
        <f aca="false">SUMIF($C$7:$C$32,4,$H$7:$H$32)/B39</f>
        <v>0.898313166666667</v>
      </c>
      <c r="Q39" s="21" t="n">
        <f aca="false">SUMIF($C$7:$C$32,4,$I$7:$I$32)/B39</f>
        <v>0.179646683333333</v>
      </c>
      <c r="R39" s="21" t="n">
        <f aca="false">SUMIF($C$7:$C$32,4,$J$7:$J$32)/B39</f>
        <v>3.57498551666667</v>
      </c>
    </row>
    <row r="41" customFormat="false" ht="15" hidden="false" customHeight="false" outlineLevel="0" collapsed="false">
      <c r="A41" s="3" t="s">
        <v>211</v>
      </c>
    </row>
    <row r="42" customFormat="false" ht="15" hidden="false" customHeight="false" outlineLevel="0" collapsed="false">
      <c r="A42" s="4" t="s">
        <v>212</v>
      </c>
      <c r="B42" s="26" t="n">
        <f aca="false">SUMPRODUCT($I$36:$I$39,$C$36:$C$39)</f>
        <v>0.581820564248526</v>
      </c>
      <c r="D42" s="8" t="s">
        <v>213</v>
      </c>
    </row>
    <row r="43" customFormat="false" ht="15" hidden="false" customHeight="false" outlineLevel="0" collapsed="false">
      <c r="A43" s="4" t="s">
        <v>214</v>
      </c>
      <c r="B43" s="26" t="n">
        <f aca="false">SUMPRODUCT($I$36:$I$39,$D$36:$D$39)</f>
        <v>0.356584653734921</v>
      </c>
    </row>
    <row r="44" customFormat="false" ht="15" hidden="false" customHeight="false" outlineLevel="0" collapsed="false">
      <c r="A44" s="4" t="s">
        <v>215</v>
      </c>
      <c r="B44" s="26" t="n">
        <f aca="false">B42-B43</f>
        <v>0.225235910513605</v>
      </c>
    </row>
    <row r="45" customFormat="false" ht="15" hidden="false" customHeight="false" outlineLevel="0" collapsed="false">
      <c r="A45" s="4" t="s">
        <v>216</v>
      </c>
      <c r="B45" s="27" t="n">
        <f aca="false">B44/B42</f>
        <v>0.387122636004656</v>
      </c>
    </row>
    <row r="46" customFormat="false" ht="15" hidden="false" customHeight="false" outlineLevel="0" collapsed="false">
      <c r="A46" s="4" t="s">
        <v>217</v>
      </c>
      <c r="B46" s="27" t="n">
        <f aca="false">MIN($S$7:$S$32)</f>
        <v>0.368852459016393</v>
      </c>
      <c r="D46" s="8" t="s">
        <v>218</v>
      </c>
    </row>
    <row r="48" customFormat="false" ht="15" hidden="false" customHeight="false" outlineLevel="0" collapsed="false">
      <c r="A48" s="8"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8"/>
    <col collapsed="false" customWidth="true" hidden="false" outlineLevel="0" max="5" min="5" style="0" width="60"/>
  </cols>
  <sheetData>
    <row r="1" customFormat="false" ht="17.35" hidden="false" customHeight="false" outlineLevel="0" collapsed="false">
      <c r="A1" s="1" t="s">
        <v>220</v>
      </c>
    </row>
    <row r="2" customFormat="false" ht="15" hidden="false" customHeight="false" outlineLevel="0" collapsed="false">
      <c r="A2" s="2" t="s">
        <v>221</v>
      </c>
    </row>
    <row r="4" customFormat="false" ht="15" hidden="false" customHeight="false" outlineLevel="0" collapsed="false">
      <c r="A4" s="3" t="s">
        <v>222</v>
      </c>
    </row>
    <row r="5" customFormat="false" ht="15" hidden="false" customHeight="false" outlineLevel="0" collapsed="false">
      <c r="A5" s="4" t="s">
        <v>223</v>
      </c>
      <c r="B5" s="28"/>
      <c r="C5" s="28"/>
      <c r="D5" s="28"/>
      <c r="E5" s="8" t="s">
        <v>224</v>
      </c>
    </row>
    <row r="6" customFormat="false" ht="15" hidden="false" customHeight="false" outlineLevel="0" collapsed="false">
      <c r="A6" s="4" t="s">
        <v>225</v>
      </c>
      <c r="B6" s="28"/>
      <c r="C6" s="28"/>
      <c r="D6" s="28"/>
      <c r="E6" s="8" t="s">
        <v>226</v>
      </c>
    </row>
    <row r="7" customFormat="false" ht="15" hidden="false" customHeight="false" outlineLevel="0" collapsed="false">
      <c r="A7" s="4" t="s">
        <v>227</v>
      </c>
      <c r="B7" s="28"/>
      <c r="C7" s="28"/>
      <c r="D7" s="28"/>
      <c r="E7" s="8" t="s">
        <v>228</v>
      </c>
    </row>
    <row r="8" customFormat="false" ht="15" hidden="false" customHeight="false" outlineLevel="0" collapsed="false">
      <c r="A8" s="4" t="s">
        <v>229</v>
      </c>
      <c r="B8" s="28"/>
      <c r="C8" s="28"/>
      <c r="D8" s="28"/>
      <c r="E8" s="8" t="s">
        <v>230</v>
      </c>
    </row>
    <row r="9" customFormat="false" ht="15" hidden="false" customHeight="false" outlineLevel="0" collapsed="false">
      <c r="A9" s="4" t="s">
        <v>231</v>
      </c>
      <c r="B9" s="28"/>
      <c r="C9" s="28"/>
      <c r="D9" s="28"/>
      <c r="E9" s="8" t="s">
        <v>232</v>
      </c>
    </row>
    <row r="10" customFormat="false" ht="15" hidden="false" customHeight="false" outlineLevel="0" collapsed="false">
      <c r="A10" s="4" t="s">
        <v>233</v>
      </c>
      <c r="B10" s="28"/>
      <c r="C10" s="28"/>
      <c r="D10" s="28"/>
      <c r="E10" s="8" t="s">
        <v>234</v>
      </c>
    </row>
    <row r="12" customFormat="false" ht="15" hidden="false" customHeight="false" outlineLevel="0" collapsed="false">
      <c r="A12" s="3" t="s">
        <v>235</v>
      </c>
    </row>
    <row r="13" customFormat="false" ht="15" hidden="false" customHeight="false" outlineLevel="0" collapsed="false">
      <c r="A13" s="6" t="s">
        <v>236</v>
      </c>
      <c r="B13" s="6" t="s">
        <v>75</v>
      </c>
      <c r="C13" s="6"/>
      <c r="D13" s="6"/>
      <c r="E13" s="6" t="s">
        <v>237</v>
      </c>
    </row>
    <row r="14" customFormat="false" ht="15" hidden="false" customHeight="false" outlineLevel="0" collapsed="false">
      <c r="A14" s="5" t="s">
        <v>238</v>
      </c>
      <c r="B14" s="29" t="n">
        <f aca="false">Rate_Card!$B$42</f>
        <v>0.581820564248526</v>
      </c>
      <c r="E14" s="8" t="s">
        <v>239</v>
      </c>
    </row>
    <row r="15" customFormat="false" ht="15" hidden="false" customHeight="false" outlineLevel="0" collapsed="false">
      <c r="A15" s="5" t="s">
        <v>240</v>
      </c>
      <c r="B15" s="30" t="n">
        <f aca="false">Plan_Economics!$C$27</f>
        <v>1</v>
      </c>
      <c r="E15" s="8" t="s">
        <v>241</v>
      </c>
    </row>
    <row r="16" customFormat="false" ht="15" hidden="false" customHeight="false" outlineLevel="0" collapsed="false">
      <c r="A16" s="4" t="s">
        <v>242</v>
      </c>
      <c r="B16" s="21" t="n">
        <f aca="false">B14*B15</f>
        <v>0.581820564248526</v>
      </c>
      <c r="E16" s="8"/>
    </row>
    <row r="17" customFormat="false" ht="15" hidden="false" customHeight="false" outlineLevel="0" collapsed="false">
      <c r="A17" s="5" t="s">
        <v>243</v>
      </c>
      <c r="B17" s="29" t="n">
        <f aca="false">Rate_Card!$B$43</f>
        <v>0.356584653734921</v>
      </c>
      <c r="E17" s="8" t="s">
        <v>244</v>
      </c>
    </row>
    <row r="18" customFormat="false" ht="15" hidden="false" customHeight="false" outlineLevel="0" collapsed="false">
      <c r="A18" s="5" t="s">
        <v>245</v>
      </c>
      <c r="B18" s="21" t="n">
        <f aca="false">B16-B17</f>
        <v>0.225235910513605</v>
      </c>
      <c r="E18" s="8"/>
    </row>
    <row r="19" customFormat="false" ht="15" hidden="false" customHeight="false" outlineLevel="0" collapsed="false">
      <c r="A19" s="4" t="s">
        <v>246</v>
      </c>
      <c r="B19" s="31" t="n">
        <f aca="false">B18/B16</f>
        <v>0.387122636004656</v>
      </c>
      <c r="E19" s="8" t="s">
        <v>247</v>
      </c>
    </row>
    <row r="21" customFormat="false" ht="15" hidden="false" customHeight="false" outlineLevel="0" collapsed="false">
      <c r="A21" s="3" t="s">
        <v>248</v>
      </c>
    </row>
    <row r="22" customFormat="false" ht="15" hidden="false" customHeight="false" outlineLevel="0" collapsed="false">
      <c r="A22" s="6" t="s">
        <v>249</v>
      </c>
      <c r="B22" s="6" t="s">
        <v>250</v>
      </c>
      <c r="C22" s="6" t="s">
        <v>251</v>
      </c>
      <c r="D22" s="6" t="s">
        <v>252</v>
      </c>
    </row>
    <row r="23" customFormat="false" ht="15" hidden="false" customHeight="false" outlineLevel="0" collapsed="false">
      <c r="A23" s="11" t="s">
        <v>253</v>
      </c>
      <c r="B23" s="32" t="n">
        <v>110000</v>
      </c>
      <c r="C23" s="29" t="n">
        <f aca="false">$B$16</f>
        <v>0.581820564248526</v>
      </c>
      <c r="D23" s="16" t="n">
        <f aca="false">B23*C23</f>
        <v>64000.2620673379</v>
      </c>
      <c r="E23" s="8" t="s">
        <v>254</v>
      </c>
    </row>
    <row r="24" customFormat="false" ht="15" hidden="false" customHeight="false" outlineLevel="0" collapsed="false">
      <c r="A24" s="11" t="s">
        <v>255</v>
      </c>
      <c r="D24" s="16" t="n">
        <v>0</v>
      </c>
    </row>
    <row r="25" customFormat="false" ht="15" hidden="false" customHeight="false" outlineLevel="0" collapsed="false">
      <c r="A25" s="11" t="s">
        <v>256</v>
      </c>
      <c r="D25" s="33" t="n">
        <f aca="false">D23-D24</f>
        <v>64000.2620673379</v>
      </c>
    </row>
    <row r="26" customFormat="false" ht="15" hidden="false" customHeight="false" outlineLevel="0" collapsed="false">
      <c r="A26" s="11" t="s">
        <v>257</v>
      </c>
      <c r="D26" s="16" t="n">
        <f aca="false">B23*$B$17</f>
        <v>39224.3119108413</v>
      </c>
    </row>
    <row r="27" customFormat="false" ht="15" hidden="false" customHeight="false" outlineLevel="0" collapsed="false">
      <c r="A27" s="11" t="s">
        <v>245</v>
      </c>
      <c r="D27" s="34" t="n">
        <f aca="false">D25-D26</f>
        <v>24775.9501564966</v>
      </c>
    </row>
    <row r="29" customFormat="false" ht="15" hidden="false" customHeight="false" outlineLevel="0" collapsed="false">
      <c r="A29" s="3" t="s">
        <v>258</v>
      </c>
    </row>
    <row r="30" customFormat="false" ht="15" hidden="false" customHeight="false" outlineLevel="0" collapsed="false">
      <c r="A30" s="6" t="s">
        <v>236</v>
      </c>
      <c r="B30" s="6" t="s">
        <v>75</v>
      </c>
    </row>
    <row r="31" customFormat="false" ht="15" hidden="false" customHeight="false" outlineLevel="0" collapsed="false">
      <c r="A31" s="4" t="s">
        <v>259</v>
      </c>
      <c r="B31" s="25" t="n">
        <f aca="false">Inputs!$B$43</f>
        <v>0.3</v>
      </c>
      <c r="E31" s="8" t="s">
        <v>260</v>
      </c>
    </row>
    <row r="32" customFormat="false" ht="15" hidden="false" customHeight="false" outlineLevel="0" collapsed="false">
      <c r="A32" s="4" t="s">
        <v>261</v>
      </c>
      <c r="B32" s="25" t="n">
        <f aca="false">Forecast_12M!$B$7</f>
        <v>1</v>
      </c>
    </row>
    <row r="33" customFormat="false" ht="15" hidden="false" customHeight="false" outlineLevel="0" collapsed="false">
      <c r="A33" s="4" t="s">
        <v>262</v>
      </c>
      <c r="B33" s="35" t="n">
        <f aca="false">SUMPRODUCT(Forecast_12M!$B$5:$M$5,Forecast_12M!$B$7:$M$7)*$B$16</f>
        <v>1021074.67777788</v>
      </c>
    </row>
    <row r="34" customFormat="false" ht="15" hidden="false" customHeight="false" outlineLevel="0" collapsed="false">
      <c r="A34" s="4" t="s">
        <v>263</v>
      </c>
      <c r="B34" s="25" t="n">
        <f aca="false">B33/Forecast_12M!$N$11</f>
        <v>0.667092429563778</v>
      </c>
    </row>
  </sheetData>
  <mergeCells count="6">
    <mergeCell ref="B5:D5"/>
    <mergeCell ref="B6:D6"/>
    <mergeCell ref="B7:D7"/>
    <mergeCell ref="B8:D8"/>
    <mergeCell ref="B9:D9"/>
    <mergeCell ref="B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8"/>
    <col collapsed="false" customWidth="true" hidden="false" outlineLevel="0" max="6" min="6" style="0" width="56"/>
  </cols>
  <sheetData>
    <row r="1" customFormat="false" ht="17.35" hidden="false" customHeight="false" outlineLevel="0" collapsed="false">
      <c r="A1" s="1" t="s">
        <v>264</v>
      </c>
    </row>
    <row r="2" customFormat="false" ht="15" hidden="false" customHeight="false" outlineLevel="0" collapsed="false">
      <c r="A2" s="2" t="s">
        <v>265</v>
      </c>
    </row>
    <row r="4" customFormat="false" ht="15" hidden="false" customHeight="false" outlineLevel="0" collapsed="false">
      <c r="A4" s="3" t="s">
        <v>222</v>
      </c>
    </row>
    <row r="5" customFormat="false" ht="15" hidden="false" customHeight="false" outlineLevel="0" collapsed="false">
      <c r="A5" s="4" t="s">
        <v>266</v>
      </c>
      <c r="F5" s="8" t="s">
        <v>267</v>
      </c>
    </row>
    <row r="6" customFormat="false" ht="15" hidden="false" customHeight="false" outlineLevel="0" collapsed="false">
      <c r="A6" s="4" t="s">
        <v>223</v>
      </c>
      <c r="F6" s="8" t="s">
        <v>268</v>
      </c>
    </row>
    <row r="7" customFormat="false" ht="15" hidden="false" customHeight="false" outlineLevel="0" collapsed="false">
      <c r="A7" s="4" t="s">
        <v>269</v>
      </c>
      <c r="F7" s="8" t="s">
        <v>270</v>
      </c>
    </row>
    <row r="8" customFormat="false" ht="15" hidden="false" customHeight="false" outlineLevel="0" collapsed="false">
      <c r="A8" s="4" t="s">
        <v>271</v>
      </c>
      <c r="F8" s="8" t="s">
        <v>272</v>
      </c>
    </row>
    <row r="9" customFormat="false" ht="15" hidden="false" customHeight="false" outlineLevel="0" collapsed="false">
      <c r="A9" s="4" t="s">
        <v>273</v>
      </c>
      <c r="F9" s="8" t="s">
        <v>274</v>
      </c>
    </row>
    <row r="10" customFormat="false" ht="15" hidden="false" customHeight="false" outlineLevel="0" collapsed="false">
      <c r="A10" s="4" t="s">
        <v>231</v>
      </c>
      <c r="F10" s="8" t="s">
        <v>275</v>
      </c>
    </row>
    <row r="12" customFormat="false" ht="15" hidden="false" customHeight="false" outlineLevel="0" collapsed="false">
      <c r="A12" s="3" t="s">
        <v>276</v>
      </c>
    </row>
    <row r="13" customFormat="false" ht="23.85" hidden="false" customHeight="false" outlineLevel="0" collapsed="false">
      <c r="A13" s="6" t="s">
        <v>100</v>
      </c>
      <c r="B13" s="6" t="s">
        <v>101</v>
      </c>
      <c r="C13" s="6" t="s">
        <v>277</v>
      </c>
      <c r="D13" s="6" t="s">
        <v>278</v>
      </c>
      <c r="E13" s="6" t="s">
        <v>279</v>
      </c>
      <c r="F13" s="6" t="s">
        <v>280</v>
      </c>
    </row>
    <row r="14" customFormat="false" ht="15" hidden="false" customHeight="false" outlineLevel="0" collapsed="false">
      <c r="A14" s="11" t="s">
        <v>105</v>
      </c>
      <c r="B14" s="35" t="n">
        <f aca="false">Inputs!B23</f>
        <v>50000</v>
      </c>
      <c r="C14" s="35" t="n">
        <f aca="false">Inputs!C23</f>
        <v>4166.66666666667</v>
      </c>
      <c r="D14" s="25" t="n">
        <f aca="false">Inputs!D23</f>
        <v>0.05</v>
      </c>
      <c r="E14" s="16" t="n">
        <f aca="false">C14/(1-D14)</f>
        <v>4385.9649122807</v>
      </c>
      <c r="F14" s="25" t="n">
        <f aca="false">Inputs!B30</f>
        <v>0.65</v>
      </c>
    </row>
    <row r="15" customFormat="false" ht="15" hidden="false" customHeight="false" outlineLevel="0" collapsed="false">
      <c r="A15" s="11" t="s">
        <v>106</v>
      </c>
      <c r="B15" s="35" t="n">
        <f aca="false">Inputs!B24</f>
        <v>250000</v>
      </c>
      <c r="C15" s="35" t="n">
        <f aca="false">Inputs!C24</f>
        <v>20833.3333333333</v>
      </c>
      <c r="D15" s="25" t="n">
        <f aca="false">Inputs!D24</f>
        <v>0.08</v>
      </c>
      <c r="E15" s="16" t="n">
        <f aca="false">C15/(1-D15)</f>
        <v>22644.9275362319</v>
      </c>
      <c r="F15" s="25" t="n">
        <f aca="false">Inputs!B31</f>
        <v>0.27</v>
      </c>
    </row>
    <row r="16" customFormat="false" ht="15" hidden="false" customHeight="false" outlineLevel="0" collapsed="false">
      <c r="A16" s="11" t="s">
        <v>107</v>
      </c>
      <c r="B16" s="35" t="n">
        <f aca="false">Inputs!B25</f>
        <v>1000000</v>
      </c>
      <c r="C16" s="35" t="n">
        <f aca="false">Inputs!C25</f>
        <v>83333.3333333333</v>
      </c>
      <c r="D16" s="25" t="n">
        <f aca="false">Inputs!D25</f>
        <v>0.12</v>
      </c>
      <c r="E16" s="16" t="n">
        <f aca="false">C16/(1-D16)</f>
        <v>94696.9696969697</v>
      </c>
      <c r="F16" s="25" t="n">
        <f aca="false">Inputs!B32</f>
        <v>0.06</v>
      </c>
    </row>
    <row r="17" customFormat="false" ht="15" hidden="false" customHeight="false" outlineLevel="0" collapsed="false">
      <c r="A17" s="11" t="s">
        <v>108</v>
      </c>
      <c r="B17" s="35" t="n">
        <f aca="false">Inputs!B26</f>
        <v>5000000</v>
      </c>
      <c r="C17" s="35" t="n">
        <f aca="false">Inputs!C26</f>
        <v>416666.666666667</v>
      </c>
      <c r="D17" s="25" t="n">
        <f aca="false">Inputs!D26</f>
        <v>0.17</v>
      </c>
      <c r="E17" s="16" t="n">
        <f aca="false">C17/(1-D17)</f>
        <v>502008.032128514</v>
      </c>
      <c r="F17" s="25" t="n">
        <f aca="false">Inputs!B33</f>
        <v>0.02</v>
      </c>
    </row>
    <row r="18" customFormat="false" ht="15" hidden="false" customHeight="false" outlineLevel="0" collapsed="false">
      <c r="A18" s="4" t="s">
        <v>281</v>
      </c>
      <c r="D18" s="27" t="n">
        <f aca="false">SUMPRODUCT(D14:D17,F14:F17)</f>
        <v>0.0647</v>
      </c>
    </row>
    <row r="19" customFormat="false" ht="15" hidden="false" customHeight="false" outlineLevel="0" collapsed="false">
      <c r="F19" s="8" t="s">
        <v>282</v>
      </c>
    </row>
    <row r="21" customFormat="false" ht="15" hidden="false" customHeight="false" outlineLevel="0" collapsed="false">
      <c r="A21" s="3" t="s">
        <v>242</v>
      </c>
    </row>
    <row r="22" customFormat="false" ht="15" hidden="false" customHeight="false" outlineLevel="0" collapsed="false">
      <c r="A22" s="6" t="s">
        <v>283</v>
      </c>
      <c r="B22" s="6" t="s">
        <v>75</v>
      </c>
      <c r="C22" s="6"/>
      <c r="D22" s="6"/>
      <c r="E22" s="6"/>
      <c r="F22" s="6" t="s">
        <v>237</v>
      </c>
    </row>
    <row r="23" customFormat="false" ht="15" hidden="false" customHeight="false" outlineLevel="0" collapsed="false">
      <c r="A23" s="5" t="s">
        <v>284</v>
      </c>
      <c r="B23" s="10" t="n">
        <f aca="false">D18</f>
        <v>0.0647</v>
      </c>
      <c r="F23" s="8" t="s">
        <v>285</v>
      </c>
    </row>
    <row r="24" customFormat="false" ht="15" hidden="false" customHeight="false" outlineLevel="0" collapsed="false">
      <c r="A24" s="5" t="s">
        <v>116</v>
      </c>
      <c r="B24" s="25" t="n">
        <f aca="false">Inputs!$B$38</f>
        <v>0.88</v>
      </c>
      <c r="F24" s="8" t="s">
        <v>286</v>
      </c>
    </row>
    <row r="25" customFormat="false" ht="15" hidden="false" customHeight="false" outlineLevel="0" collapsed="false">
      <c r="A25" s="5" t="s">
        <v>287</v>
      </c>
      <c r="B25" s="10" t="n">
        <f aca="false">1-B24</f>
        <v>0.12</v>
      </c>
      <c r="F25" s="8"/>
    </row>
    <row r="26" customFormat="false" ht="15" hidden="false" customHeight="false" outlineLevel="0" collapsed="false">
      <c r="A26" s="5" t="s">
        <v>118</v>
      </c>
      <c r="B26" s="25" t="n">
        <f aca="false">Inputs!$B$39</f>
        <v>0.06</v>
      </c>
      <c r="F26" s="8" t="s">
        <v>288</v>
      </c>
    </row>
    <row r="27" customFormat="false" ht="15" hidden="false" customHeight="false" outlineLevel="0" collapsed="false">
      <c r="A27" s="4" t="s">
        <v>289</v>
      </c>
      <c r="B27" s="36" t="n">
        <f aca="false">(B24*(1-B23)+B25)*(1+B26)</f>
        <v>0.99964784</v>
      </c>
      <c r="F27" s="8" t="s">
        <v>290</v>
      </c>
    </row>
    <row r="28" customFormat="false" ht="15" hidden="false" customHeight="false" outlineLevel="0" collapsed="false">
      <c r="A28" s="5" t="s">
        <v>291</v>
      </c>
      <c r="B28" s="29" t="n">
        <f aca="false">Rate_Card!$B$42*B27</f>
        <v>0.58161567031862</v>
      </c>
      <c r="F28" s="8"/>
    </row>
    <row r="29" customFormat="false" ht="15" hidden="false" customHeight="false" outlineLevel="0" collapsed="false">
      <c r="A29" s="5" t="s">
        <v>292</v>
      </c>
      <c r="B29" s="29" t="n">
        <f aca="false">Rate_Card!$B$43</f>
        <v>0.356584653734921</v>
      </c>
      <c r="F29" s="8"/>
    </row>
    <row r="30" customFormat="false" ht="15" hidden="false" customHeight="false" outlineLevel="0" collapsed="false">
      <c r="A30" s="5" t="s">
        <v>293</v>
      </c>
      <c r="B30" s="21" t="n">
        <f aca="false">B28-B29</f>
        <v>0.2250310165837</v>
      </c>
      <c r="F30" s="8"/>
    </row>
    <row r="31" customFormat="false" ht="15" hidden="false" customHeight="false" outlineLevel="0" collapsed="false">
      <c r="A31" s="4" t="s">
        <v>246</v>
      </c>
      <c r="B31" s="31" t="n">
        <f aca="false">B30/B28</f>
        <v>0.386906729078368</v>
      </c>
      <c r="F31" s="8"/>
    </row>
    <row r="32" customFormat="false" ht="15" hidden="false" customHeight="false" outlineLevel="0" collapsed="false">
      <c r="A32" s="5" t="s">
        <v>294</v>
      </c>
      <c r="B32" s="37" t="n">
        <f aca="false">(PAYG_Model!$B$19-B31)*100</f>
        <v>0.0215906926287757</v>
      </c>
      <c r="F32" s="8" t="s">
        <v>295</v>
      </c>
    </row>
    <row r="34" customFormat="false" ht="15" hidden="false" customHeight="false" outlineLevel="0" collapsed="false">
      <c r="A34" s="3" t="s">
        <v>296</v>
      </c>
    </row>
    <row r="35" customFormat="false" ht="15" hidden="false" customHeight="false" outlineLevel="0" collapsed="false">
      <c r="A35" s="8" t="s">
        <v>297</v>
      </c>
    </row>
    <row r="36" customFormat="false" ht="15" hidden="false" customHeight="false" outlineLevel="0" collapsed="false">
      <c r="A36" s="6" t="s">
        <v>249</v>
      </c>
      <c r="B36" s="6" t="s">
        <v>298</v>
      </c>
      <c r="C36" s="6" t="s">
        <v>299</v>
      </c>
    </row>
    <row r="37" customFormat="false" ht="15" hidden="false" customHeight="false" outlineLevel="0" collapsed="false">
      <c r="A37" s="11" t="s">
        <v>300</v>
      </c>
      <c r="B37" s="15" t="n">
        <v>150000</v>
      </c>
      <c r="C37" s="15" t="n">
        <v>260000</v>
      </c>
    </row>
    <row r="38" customFormat="false" ht="15" hidden="false" customHeight="false" outlineLevel="0" collapsed="false">
      <c r="A38" s="11" t="s">
        <v>277</v>
      </c>
      <c r="B38" s="35" t="n">
        <f aca="false">$C$15</f>
        <v>20833.3333333333</v>
      </c>
      <c r="C38" s="35" t="n">
        <f aca="false">$C$15</f>
        <v>20833.3333333333</v>
      </c>
    </row>
    <row r="39" customFormat="false" ht="15" hidden="false" customHeight="false" outlineLevel="0" collapsed="false">
      <c r="A39" s="11" t="s">
        <v>279</v>
      </c>
      <c r="B39" s="35" t="n">
        <f aca="false">$E$15</f>
        <v>22644.9275362319</v>
      </c>
      <c r="C39" s="35" t="n">
        <f aca="false">$E$15</f>
        <v>22644.9275362319</v>
      </c>
    </row>
    <row r="40" customFormat="false" ht="15" hidden="false" customHeight="false" outlineLevel="0" collapsed="false">
      <c r="A40" s="11" t="s">
        <v>301</v>
      </c>
      <c r="B40" s="16" t="n">
        <f aca="false">MIN(B37,B39)</f>
        <v>22644.9275362319</v>
      </c>
      <c r="C40" s="16" t="n">
        <f aca="false">MIN(C37,C39)</f>
        <v>22644.9275362319</v>
      </c>
    </row>
    <row r="41" customFormat="false" ht="15" hidden="false" customHeight="false" outlineLevel="0" collapsed="false">
      <c r="A41" s="11" t="s">
        <v>302</v>
      </c>
      <c r="B41" s="16" t="n">
        <f aca="false">-B40*$D$15</f>
        <v>-1811.59420289855</v>
      </c>
      <c r="C41" s="16" t="n">
        <f aca="false">-C40*$D$15</f>
        <v>-1811.59420289855</v>
      </c>
    </row>
    <row r="42" customFormat="false" ht="15" hidden="false" customHeight="false" outlineLevel="0" collapsed="false">
      <c r="A42" s="11" t="s">
        <v>303</v>
      </c>
      <c r="B42" s="16" t="n">
        <f aca="false">MAX(0,B37-B39)</f>
        <v>127355.072463768</v>
      </c>
      <c r="C42" s="16" t="n">
        <f aca="false">MAX(0,C37-C39)</f>
        <v>237355.072463768</v>
      </c>
    </row>
    <row r="43" customFormat="false" ht="15" hidden="false" customHeight="false" outlineLevel="0" collapsed="false">
      <c r="A43" s="11" t="s">
        <v>304</v>
      </c>
      <c r="B43" s="16" t="n">
        <f aca="false">B40+B41+B42</f>
        <v>148188.405797101</v>
      </c>
      <c r="C43" s="16" t="n">
        <f aca="false">C40+C41+C42</f>
        <v>258188.405797101</v>
      </c>
    </row>
    <row r="44" customFormat="false" ht="15" hidden="false" customHeight="false" outlineLevel="0" collapsed="false">
      <c r="A44" s="11" t="s">
        <v>305</v>
      </c>
      <c r="B44" s="16" t="n">
        <f aca="false">MAX(0,B38-B43)</f>
        <v>0</v>
      </c>
      <c r="C44" s="16" t="n">
        <f aca="false">MAX(0,C38-C43)</f>
        <v>0</v>
      </c>
    </row>
    <row r="45" customFormat="false" ht="15" hidden="false" customHeight="false" outlineLevel="0" collapsed="false">
      <c r="A45" s="11" t="s">
        <v>256</v>
      </c>
      <c r="B45" s="33" t="n">
        <f aca="false">B43+B44</f>
        <v>148188.405797101</v>
      </c>
      <c r="C45" s="33" t="n">
        <f aca="false">C43+C44</f>
        <v>258188.405797101</v>
      </c>
      <c r="F45" s="8" t="s">
        <v>306</v>
      </c>
    </row>
    <row r="46" customFormat="false" ht="15" hidden="false" customHeight="false" outlineLevel="0" collapsed="false">
      <c r="A46" s="11" t="s">
        <v>307</v>
      </c>
      <c r="B46" s="10" t="n">
        <f aca="false">1-B45/B37</f>
        <v>0.0120772946859904</v>
      </c>
      <c r="C46" s="10" t="n">
        <f aca="false">1-C45/C37</f>
        <v>0.00696767001114829</v>
      </c>
    </row>
    <row r="48" customFormat="false" ht="15" hidden="false" customHeight="false" outlineLevel="0" collapsed="false">
      <c r="A48" s="3" t="s">
        <v>308</v>
      </c>
    </row>
    <row r="49" customFormat="false" ht="15" hidden="false" customHeight="false" outlineLevel="0" collapsed="false">
      <c r="A49" s="8" t="s">
        <v>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5"/>
    <col collapsed="false" customWidth="true" hidden="false" outlineLevel="0" max="8" min="8" style="0" width="52"/>
  </cols>
  <sheetData>
    <row r="1" customFormat="false" ht="17.35" hidden="false" customHeight="false" outlineLevel="0" collapsed="false">
      <c r="A1" s="1" t="s">
        <v>310</v>
      </c>
    </row>
    <row r="2" customFormat="false" ht="15" hidden="false" customHeight="false" outlineLevel="0" collapsed="false">
      <c r="A2" s="2" t="s">
        <v>311</v>
      </c>
    </row>
    <row r="4" customFormat="false" ht="15" hidden="false" customHeight="false" outlineLevel="0" collapsed="false">
      <c r="A4" s="3" t="s">
        <v>222</v>
      </c>
    </row>
    <row r="5" customFormat="false" ht="15" hidden="false" customHeight="false" outlineLevel="0" collapsed="false">
      <c r="A5" s="4" t="s">
        <v>266</v>
      </c>
      <c r="H5" s="8" t="s">
        <v>312</v>
      </c>
    </row>
    <row r="6" customFormat="false" ht="15" hidden="false" customHeight="false" outlineLevel="0" collapsed="false">
      <c r="A6" s="4" t="s">
        <v>223</v>
      </c>
      <c r="H6" s="8" t="s">
        <v>313</v>
      </c>
    </row>
    <row r="7" customFormat="false" ht="15" hidden="false" customHeight="false" outlineLevel="0" collapsed="false">
      <c r="A7" s="4" t="s">
        <v>314</v>
      </c>
      <c r="H7" s="8" t="s">
        <v>315</v>
      </c>
    </row>
    <row r="8" customFormat="false" ht="15" hidden="false" customHeight="false" outlineLevel="0" collapsed="false">
      <c r="A8" s="4" t="s">
        <v>316</v>
      </c>
      <c r="H8" s="8" t="s">
        <v>317</v>
      </c>
    </row>
    <row r="9" customFormat="false" ht="15" hidden="false" customHeight="false" outlineLevel="0" collapsed="false">
      <c r="A9" s="4" t="s">
        <v>318</v>
      </c>
      <c r="H9" s="8" t="s">
        <v>319</v>
      </c>
    </row>
    <row r="10" customFormat="false" ht="15" hidden="false" customHeight="false" outlineLevel="0" collapsed="false">
      <c r="A10" s="4" t="s">
        <v>320</v>
      </c>
      <c r="H10" s="8" t="s">
        <v>321</v>
      </c>
    </row>
    <row r="11" customFormat="false" ht="15" hidden="false" customHeight="false" outlineLevel="0" collapsed="false">
      <c r="A11" s="4" t="s">
        <v>322</v>
      </c>
      <c r="H11" s="8" t="s">
        <v>323</v>
      </c>
    </row>
    <row r="13" customFormat="false" ht="15" hidden="false" customHeight="false" outlineLevel="0" collapsed="false">
      <c r="A13" s="3" t="s">
        <v>276</v>
      </c>
    </row>
    <row r="14" customFormat="false" ht="35.05" hidden="false" customHeight="false" outlineLevel="0" collapsed="false">
      <c r="A14" s="6" t="s">
        <v>100</v>
      </c>
      <c r="B14" s="6" t="s">
        <v>101</v>
      </c>
      <c r="C14" s="6" t="s">
        <v>324</v>
      </c>
      <c r="D14" s="6" t="s">
        <v>278</v>
      </c>
      <c r="E14" s="6" t="s">
        <v>325</v>
      </c>
      <c r="F14" s="6" t="s">
        <v>280</v>
      </c>
      <c r="G14" s="6" t="s">
        <v>326</v>
      </c>
    </row>
    <row r="15" customFormat="false" ht="15" hidden="false" customHeight="false" outlineLevel="0" collapsed="false">
      <c r="A15" s="11" t="s">
        <v>105</v>
      </c>
      <c r="B15" s="35" t="n">
        <f aca="false">Inputs!B23</f>
        <v>50000</v>
      </c>
      <c r="C15" s="16" t="n">
        <f aca="false">B15/12</f>
        <v>4166.66666666667</v>
      </c>
      <c r="D15" s="25" t="n">
        <f aca="false">Inputs!E23</f>
        <v>0.08</v>
      </c>
      <c r="E15" s="16" t="n">
        <f aca="false">B15/(1-D15)</f>
        <v>54347.8260869565</v>
      </c>
      <c r="F15" s="25" t="n">
        <f aca="false">Inputs!C30</f>
        <v>0.35</v>
      </c>
      <c r="G15" s="38" t="n">
        <f aca="false">(Inputs!E23-Inputs!D23)*100</f>
        <v>3</v>
      </c>
    </row>
    <row r="16" customFormat="false" ht="15" hidden="false" customHeight="false" outlineLevel="0" collapsed="false">
      <c r="A16" s="11" t="s">
        <v>106</v>
      </c>
      <c r="B16" s="35" t="n">
        <f aca="false">Inputs!B24</f>
        <v>250000</v>
      </c>
      <c r="C16" s="16" t="n">
        <f aca="false">B16/12</f>
        <v>20833.3333333333</v>
      </c>
      <c r="D16" s="25" t="n">
        <f aca="false">Inputs!E24</f>
        <v>0.11</v>
      </c>
      <c r="E16" s="16" t="n">
        <f aca="false">B16/(1-D16)</f>
        <v>280898.876404494</v>
      </c>
      <c r="F16" s="25" t="n">
        <f aca="false">Inputs!C31</f>
        <v>0.4</v>
      </c>
      <c r="G16" s="38" t="n">
        <f aca="false">(Inputs!E24-Inputs!D24)*100</f>
        <v>3</v>
      </c>
    </row>
    <row r="17" customFormat="false" ht="15" hidden="false" customHeight="false" outlineLevel="0" collapsed="false">
      <c r="A17" s="11" t="s">
        <v>107</v>
      </c>
      <c r="B17" s="35" t="n">
        <f aca="false">Inputs!B25</f>
        <v>1000000</v>
      </c>
      <c r="C17" s="16" t="n">
        <f aca="false">B17/12</f>
        <v>83333.3333333333</v>
      </c>
      <c r="D17" s="25" t="n">
        <f aca="false">Inputs!E25</f>
        <v>0.15</v>
      </c>
      <c r="E17" s="16" t="n">
        <f aca="false">B17/(1-D17)</f>
        <v>1176470.58823529</v>
      </c>
      <c r="F17" s="25" t="n">
        <f aca="false">Inputs!C32</f>
        <v>0.22</v>
      </c>
      <c r="G17" s="38" t="n">
        <f aca="false">(Inputs!E25-Inputs!D25)*100</f>
        <v>3</v>
      </c>
    </row>
    <row r="18" customFormat="false" ht="15" hidden="false" customHeight="false" outlineLevel="0" collapsed="false">
      <c r="A18" s="11" t="s">
        <v>108</v>
      </c>
      <c r="B18" s="35" t="n">
        <f aca="false">Inputs!B26</f>
        <v>5000000</v>
      </c>
      <c r="C18" s="16" t="n">
        <f aca="false">B18/12</f>
        <v>416666.666666667</v>
      </c>
      <c r="D18" s="25" t="n">
        <f aca="false">Inputs!E26</f>
        <v>0.2</v>
      </c>
      <c r="E18" s="16" t="n">
        <f aca="false">B18/(1-D18)</f>
        <v>6250000</v>
      </c>
      <c r="F18" s="25" t="n">
        <f aca="false">Inputs!C33</f>
        <v>0.03</v>
      </c>
      <c r="G18" s="38" t="n">
        <f aca="false">(Inputs!E26-Inputs!D26)*100</f>
        <v>3</v>
      </c>
    </row>
    <row r="19" customFormat="false" ht="15" hidden="false" customHeight="false" outlineLevel="0" collapsed="false">
      <c r="A19" s="4" t="s">
        <v>281</v>
      </c>
      <c r="D19" s="27" t="n">
        <f aca="false">SUMPRODUCT(D15:D18,F15:F18)</f>
        <v>0.111</v>
      </c>
    </row>
    <row r="21" customFormat="false" ht="15" hidden="false" customHeight="false" outlineLevel="0" collapsed="false">
      <c r="A21" s="3" t="s">
        <v>242</v>
      </c>
    </row>
    <row r="22" customFormat="false" ht="15" hidden="false" customHeight="false" outlineLevel="0" collapsed="false">
      <c r="A22" s="6" t="s">
        <v>283</v>
      </c>
      <c r="B22" s="6" t="s">
        <v>75</v>
      </c>
      <c r="C22" s="6"/>
      <c r="D22" s="6"/>
      <c r="E22" s="6"/>
      <c r="F22" s="6"/>
      <c r="G22" s="6"/>
      <c r="H22" s="6" t="s">
        <v>237</v>
      </c>
    </row>
    <row r="23" customFormat="false" ht="15" hidden="false" customHeight="false" outlineLevel="0" collapsed="false">
      <c r="A23" s="5" t="s">
        <v>284</v>
      </c>
      <c r="B23" s="10" t="n">
        <f aca="false">D19</f>
        <v>0.111</v>
      </c>
      <c r="H23" s="8" t="s">
        <v>327</v>
      </c>
    </row>
    <row r="24" customFormat="false" ht="15" hidden="false" customHeight="false" outlineLevel="0" collapsed="false">
      <c r="A24" s="5" t="s">
        <v>116</v>
      </c>
      <c r="B24" s="25" t="n">
        <f aca="false">Inputs!$C$38</f>
        <v>1</v>
      </c>
      <c r="H24" s="8" t="s">
        <v>328</v>
      </c>
    </row>
    <row r="25" customFormat="false" ht="15" hidden="false" customHeight="false" outlineLevel="0" collapsed="false">
      <c r="A25" s="5" t="s">
        <v>287</v>
      </c>
      <c r="B25" s="10" t="n">
        <f aca="false">1-B24</f>
        <v>0</v>
      </c>
      <c r="H25" s="8" t="s">
        <v>329</v>
      </c>
    </row>
    <row r="26" customFormat="false" ht="15" hidden="false" customHeight="false" outlineLevel="0" collapsed="false">
      <c r="A26" s="5" t="s">
        <v>118</v>
      </c>
      <c r="B26" s="25" t="n">
        <f aca="false">Inputs!$C$39</f>
        <v>0.01</v>
      </c>
      <c r="H26" s="8" t="s">
        <v>330</v>
      </c>
    </row>
    <row r="27" customFormat="false" ht="15" hidden="false" customHeight="false" outlineLevel="0" collapsed="false">
      <c r="A27" s="4" t="s">
        <v>289</v>
      </c>
      <c r="B27" s="36" t="n">
        <f aca="false">(B24*(1-B23)+B25)*(1+B26)</f>
        <v>0.89789</v>
      </c>
      <c r="H27" s="8" t="s">
        <v>331</v>
      </c>
    </row>
    <row r="28" customFormat="false" ht="15" hidden="false" customHeight="false" outlineLevel="0" collapsed="false">
      <c r="A28" s="5" t="s">
        <v>291</v>
      </c>
      <c r="B28" s="29" t="n">
        <f aca="false">Rate_Card!$B$42*B27</f>
        <v>0.522410866433109</v>
      </c>
      <c r="H28" s="8"/>
    </row>
    <row r="29" customFormat="false" ht="15" hidden="false" customHeight="false" outlineLevel="0" collapsed="false">
      <c r="A29" s="5" t="s">
        <v>292</v>
      </c>
      <c r="B29" s="29" t="n">
        <f aca="false">Rate_Card!$B$43</f>
        <v>0.356584653734921</v>
      </c>
      <c r="H29" s="8"/>
    </row>
    <row r="30" customFormat="false" ht="15" hidden="false" customHeight="false" outlineLevel="0" collapsed="false">
      <c r="A30" s="5" t="s">
        <v>293</v>
      </c>
      <c r="B30" s="21" t="n">
        <f aca="false">B28-B29</f>
        <v>0.165826212698188</v>
      </c>
      <c r="H30" s="8"/>
    </row>
    <row r="31" customFormat="false" ht="15" hidden="false" customHeight="false" outlineLevel="0" collapsed="false">
      <c r="A31" s="4" t="s">
        <v>246</v>
      </c>
      <c r="B31" s="31" t="n">
        <f aca="false">B30/B28</f>
        <v>0.317424891695704</v>
      </c>
      <c r="H31" s="8"/>
    </row>
    <row r="32" customFormat="false" ht="15" hidden="false" customHeight="false" outlineLevel="0" collapsed="false">
      <c r="A32" s="5" t="s">
        <v>294</v>
      </c>
      <c r="B32" s="37" t="n">
        <f aca="false">(PAYG_Model!$B$19-B31)*100</f>
        <v>6.96977443089518</v>
      </c>
      <c r="H32" s="8" t="s">
        <v>332</v>
      </c>
    </row>
    <row r="34" customFormat="false" ht="15" hidden="false" customHeight="false" outlineLevel="0" collapsed="false">
      <c r="A34" s="3" t="s">
        <v>333</v>
      </c>
    </row>
    <row r="35" customFormat="false" ht="15" hidden="false" customHeight="false" outlineLevel="0" collapsed="false">
      <c r="A35" s="8" t="s">
        <v>334</v>
      </c>
    </row>
    <row r="36" customFormat="false" ht="15" hidden="false" customHeight="false" outlineLevel="0" collapsed="false">
      <c r="A36" s="4" t="s">
        <v>101</v>
      </c>
      <c r="B36" s="35" t="n">
        <f aca="false">$B$16</f>
        <v>250000</v>
      </c>
    </row>
    <row r="37" customFormat="false" ht="15" hidden="false" customHeight="false" outlineLevel="0" collapsed="false">
      <c r="A37" s="4" t="s">
        <v>324</v>
      </c>
      <c r="B37" s="35" t="n">
        <f aca="false">$C$16</f>
        <v>20833.3333333333</v>
      </c>
    </row>
    <row r="38" customFormat="false" ht="15" hidden="false" customHeight="false" outlineLevel="0" collapsed="false">
      <c r="A38" s="4" t="s">
        <v>335</v>
      </c>
      <c r="B38" s="25" t="n">
        <f aca="false">$D$16</f>
        <v>0.11</v>
      </c>
    </row>
    <row r="40" customFormat="false" ht="15" hidden="false" customHeight="false" outlineLevel="0" collapsed="false">
      <c r="A40" s="6" t="s">
        <v>336</v>
      </c>
      <c r="B40" s="39" t="n">
        <v>1</v>
      </c>
      <c r="C40" s="39" t="n">
        <v>2</v>
      </c>
      <c r="D40" s="39" t="n">
        <v>3</v>
      </c>
      <c r="E40" s="39" t="n">
        <v>4</v>
      </c>
      <c r="F40" s="39" t="n">
        <v>5</v>
      </c>
      <c r="G40" s="39" t="n">
        <v>6</v>
      </c>
      <c r="H40" s="39" t="n">
        <v>7</v>
      </c>
      <c r="I40" s="39" t="n">
        <v>8</v>
      </c>
      <c r="J40" s="39" t="n">
        <v>9</v>
      </c>
      <c r="K40" s="39" t="n">
        <v>10</v>
      </c>
      <c r="L40" s="39" t="n">
        <v>11</v>
      </c>
      <c r="M40" s="39" t="n">
        <v>12</v>
      </c>
      <c r="N40" s="39" t="s">
        <v>337</v>
      </c>
    </row>
    <row r="41" customFormat="false" ht="15" hidden="false" customHeight="false" outlineLevel="0" collapsed="false">
      <c r="A41" s="4" t="s">
        <v>300</v>
      </c>
      <c r="B41" s="15" t="n">
        <v>55000</v>
      </c>
      <c r="C41" s="15" t="n">
        <v>60000</v>
      </c>
      <c r="D41" s="15" t="n">
        <v>70000</v>
      </c>
      <c r="E41" s="15" t="n">
        <v>80000</v>
      </c>
      <c r="F41" s="15" t="n">
        <v>95000</v>
      </c>
      <c r="G41" s="15" t="n">
        <v>110000</v>
      </c>
      <c r="H41" s="15" t="n">
        <v>130000</v>
      </c>
      <c r="I41" s="15" t="n">
        <v>150000</v>
      </c>
      <c r="J41" s="15" t="n">
        <v>175000</v>
      </c>
      <c r="K41" s="15" t="n">
        <v>195000</v>
      </c>
      <c r="L41" s="15" t="n">
        <v>210000</v>
      </c>
      <c r="M41" s="15" t="n">
        <v>230000</v>
      </c>
      <c r="N41" s="34" t="n">
        <f aca="false">SUM(B41:M41)</f>
        <v>1560000</v>
      </c>
    </row>
    <row r="42" customFormat="false" ht="15" hidden="false" customHeight="false" outlineLevel="0" collapsed="false">
      <c r="A42" s="4" t="s">
        <v>338</v>
      </c>
      <c r="B42" s="16" t="n">
        <f aca="false">B41*(1-$B$38)</f>
        <v>48950</v>
      </c>
      <c r="C42" s="16" t="n">
        <f aca="false">C41*(1-$B$38)</f>
        <v>53400</v>
      </c>
      <c r="D42" s="16" t="n">
        <f aca="false">D41*(1-$B$38)</f>
        <v>62300</v>
      </c>
      <c r="E42" s="16" t="n">
        <f aca="false">E41*(1-$B$38)</f>
        <v>71200</v>
      </c>
      <c r="F42" s="16" t="n">
        <f aca="false">F41*(1-$B$38)</f>
        <v>84550</v>
      </c>
      <c r="G42" s="16" t="n">
        <f aca="false">G41*(1-$B$38)</f>
        <v>97900</v>
      </c>
      <c r="H42" s="16" t="n">
        <f aca="false">H41*(1-$B$38)</f>
        <v>115700</v>
      </c>
      <c r="I42" s="16" t="n">
        <f aca="false">I41*(1-$B$38)</f>
        <v>133500</v>
      </c>
      <c r="J42" s="16" t="n">
        <f aca="false">J41*(1-$B$38)</f>
        <v>155750</v>
      </c>
      <c r="K42" s="16" t="n">
        <f aca="false">K41*(1-$B$38)</f>
        <v>173550</v>
      </c>
      <c r="L42" s="16" t="n">
        <f aca="false">L41*(1-$B$38)</f>
        <v>186900</v>
      </c>
      <c r="M42" s="16" t="n">
        <f aca="false">M41*(1-$B$38)</f>
        <v>204700</v>
      </c>
      <c r="N42" s="34" t="n">
        <f aca="false">SUM(B42:M42)</f>
        <v>1388400</v>
      </c>
    </row>
    <row r="43" customFormat="false" ht="15" hidden="false" customHeight="false" outlineLevel="0" collapsed="false">
      <c r="A43" s="5" t="s">
        <v>339</v>
      </c>
      <c r="B43" s="16" t="n">
        <f aca="false">B42</f>
        <v>48950</v>
      </c>
      <c r="C43" s="16" t="n">
        <f aca="false">B43+C42</f>
        <v>102350</v>
      </c>
      <c r="D43" s="16" t="n">
        <f aca="false">C43+D42</f>
        <v>164650</v>
      </c>
      <c r="E43" s="16" t="n">
        <f aca="false">D43+E42</f>
        <v>235850</v>
      </c>
      <c r="F43" s="16" t="n">
        <f aca="false">E43+F42</f>
        <v>320400</v>
      </c>
      <c r="G43" s="16" t="n">
        <f aca="false">F43+G42</f>
        <v>418300</v>
      </c>
      <c r="H43" s="16" t="n">
        <f aca="false">G43+H42</f>
        <v>534000</v>
      </c>
      <c r="I43" s="16" t="n">
        <f aca="false">H43+I42</f>
        <v>667500</v>
      </c>
      <c r="J43" s="16" t="n">
        <f aca="false">I43+J42</f>
        <v>823250</v>
      </c>
      <c r="K43" s="16" t="n">
        <f aca="false">J43+K42</f>
        <v>996800</v>
      </c>
      <c r="L43" s="16" t="n">
        <f aca="false">K43+L42</f>
        <v>1183700</v>
      </c>
      <c r="M43" s="16" t="n">
        <f aca="false">L43+M42</f>
        <v>1388400</v>
      </c>
    </row>
    <row r="44" customFormat="false" ht="15" hidden="false" customHeight="false" outlineLevel="0" collapsed="false">
      <c r="A44" s="5" t="s">
        <v>340</v>
      </c>
      <c r="B44" s="16" t="n">
        <f aca="false">$B$37*1</f>
        <v>20833.3333333333</v>
      </c>
      <c r="C44" s="16" t="n">
        <f aca="false">$B$37*2</f>
        <v>41666.6666666667</v>
      </c>
      <c r="D44" s="16" t="n">
        <f aca="false">$B$37*3</f>
        <v>62500</v>
      </c>
      <c r="E44" s="16" t="n">
        <f aca="false">$B$37*4</f>
        <v>83333.3333333333</v>
      </c>
      <c r="F44" s="16" t="n">
        <f aca="false">$B$37*5</f>
        <v>104166.666666667</v>
      </c>
      <c r="G44" s="16" t="n">
        <f aca="false">$B$37*6</f>
        <v>125000</v>
      </c>
      <c r="H44" s="16" t="n">
        <f aca="false">$B$37*7</f>
        <v>145833.333333333</v>
      </c>
      <c r="I44" s="16" t="n">
        <f aca="false">$B$37*8</f>
        <v>166666.666666667</v>
      </c>
      <c r="J44" s="16" t="n">
        <f aca="false">$B$37*9</f>
        <v>187500</v>
      </c>
      <c r="K44" s="16" t="n">
        <f aca="false">$B$37*10</f>
        <v>208333.333333333</v>
      </c>
      <c r="L44" s="16" t="n">
        <f aca="false">$B$37*11</f>
        <v>229166.666666667</v>
      </c>
      <c r="M44" s="16" t="n">
        <f aca="false">$B$37*12</f>
        <v>250000</v>
      </c>
    </row>
    <row r="45" customFormat="false" ht="15" hidden="false" customHeight="false" outlineLevel="0" collapsed="false">
      <c r="A45" s="4" t="s">
        <v>341</v>
      </c>
      <c r="B45" s="34" t="n">
        <f aca="false">MAX(0,B44-B43)</f>
        <v>0</v>
      </c>
      <c r="C45" s="34" t="n">
        <f aca="false">MAX(0,C44-C43)</f>
        <v>0</v>
      </c>
      <c r="D45" s="34" t="n">
        <f aca="false">MAX(0,D44-D43)</f>
        <v>0</v>
      </c>
      <c r="E45" s="34" t="n">
        <f aca="false">MAX(0,E44-E43)</f>
        <v>0</v>
      </c>
      <c r="F45" s="34" t="n">
        <f aca="false">MAX(0,F44-F43)</f>
        <v>0</v>
      </c>
      <c r="G45" s="34" t="n">
        <f aca="false">MAX(0,G44-G43)</f>
        <v>0</v>
      </c>
      <c r="H45" s="34" t="n">
        <f aca="false">MAX(0,H44-H43)</f>
        <v>0</v>
      </c>
      <c r="I45" s="34" t="n">
        <f aca="false">MAX(0,I44-I43)</f>
        <v>0</v>
      </c>
      <c r="J45" s="34" t="n">
        <f aca="false">MAX(0,J44-J43)</f>
        <v>0</v>
      </c>
      <c r="K45" s="34" t="n">
        <f aca="false">MAX(0,K44-K43)</f>
        <v>0</v>
      </c>
      <c r="L45" s="34" t="n">
        <f aca="false">MAX(0,L44-L43)</f>
        <v>0</v>
      </c>
      <c r="M45" s="34" t="n">
        <f aca="false">MAX(0,M44-M43)</f>
        <v>0</v>
      </c>
    </row>
    <row r="46" customFormat="false" ht="15" hidden="false" customHeight="false" outlineLevel="0" collapsed="false">
      <c r="A46" s="5" t="s">
        <v>342</v>
      </c>
      <c r="B46" s="16" t="n">
        <v>0</v>
      </c>
      <c r="C46" s="16" t="n">
        <v>0</v>
      </c>
      <c r="D46" s="16" t="n">
        <v>0</v>
      </c>
      <c r="E46" s="16" t="n">
        <v>0</v>
      </c>
      <c r="F46" s="16" t="n">
        <v>0</v>
      </c>
      <c r="G46" s="16" t="n">
        <v>0</v>
      </c>
      <c r="H46" s="16" t="n">
        <v>0</v>
      </c>
      <c r="I46" s="16" t="n">
        <v>0</v>
      </c>
      <c r="J46" s="16" t="n">
        <v>0</v>
      </c>
      <c r="K46" s="16" t="n">
        <v>0</v>
      </c>
      <c r="L46" s="16" t="n">
        <v>0</v>
      </c>
      <c r="M46" s="16" t="n">
        <f aca="false">M45</f>
        <v>0</v>
      </c>
      <c r="N46" s="34" t="n">
        <f aca="false">M45</f>
        <v>0</v>
      </c>
    </row>
    <row r="47" customFormat="false" ht="15" hidden="false" customHeight="false" outlineLevel="0" collapsed="false">
      <c r="A47" s="4" t="s">
        <v>343</v>
      </c>
      <c r="B47" s="34" t="n">
        <f aca="false">B42+B46</f>
        <v>48950</v>
      </c>
      <c r="C47" s="34" t="n">
        <f aca="false">C42+C46</f>
        <v>53400</v>
      </c>
      <c r="D47" s="34" t="n">
        <f aca="false">D42+D46</f>
        <v>62300</v>
      </c>
      <c r="E47" s="34" t="n">
        <f aca="false">E42+E46</f>
        <v>71200</v>
      </c>
      <c r="F47" s="34" t="n">
        <f aca="false">F42+F46</f>
        <v>84550</v>
      </c>
      <c r="G47" s="34" t="n">
        <f aca="false">G42+G46</f>
        <v>97900</v>
      </c>
      <c r="H47" s="34" t="n">
        <f aca="false">H42+H46</f>
        <v>115700</v>
      </c>
      <c r="I47" s="34" t="n">
        <f aca="false">I42+I46</f>
        <v>133500</v>
      </c>
      <c r="J47" s="34" t="n">
        <f aca="false">J42+J46</f>
        <v>155750</v>
      </c>
      <c r="K47" s="34" t="n">
        <f aca="false">K42+K46</f>
        <v>173550</v>
      </c>
      <c r="L47" s="34" t="n">
        <f aca="false">L42+L46</f>
        <v>186900</v>
      </c>
      <c r="M47" s="34" t="n">
        <f aca="false">M42+M46</f>
        <v>204700</v>
      </c>
      <c r="N47" s="33" t="n">
        <f aca="false">SUM(B47:M47)</f>
        <v>1388400</v>
      </c>
    </row>
    <row r="49" customFormat="false" ht="15" hidden="false" customHeight="false" outlineLevel="0" collapsed="false">
      <c r="A49" s="3" t="s">
        <v>344</v>
      </c>
    </row>
    <row r="50" customFormat="false" ht="15" hidden="false" customHeight="false" outlineLevel="0" collapsed="false">
      <c r="A50" s="6" t="s">
        <v>236</v>
      </c>
      <c r="B50" s="6" t="s">
        <v>75</v>
      </c>
    </row>
    <row r="51" customFormat="false" ht="15" hidden="false" customHeight="false" outlineLevel="0" collapsed="false">
      <c r="A51" s="5" t="s">
        <v>345</v>
      </c>
      <c r="B51" s="16" t="n">
        <f aca="false">N41</f>
        <v>1560000</v>
      </c>
      <c r="H51" s="8" t="s">
        <v>346</v>
      </c>
    </row>
    <row r="52" customFormat="false" ht="15" hidden="false" customHeight="false" outlineLevel="0" collapsed="false">
      <c r="A52" s="5" t="s">
        <v>347</v>
      </c>
      <c r="B52" s="16" t="n">
        <f aca="false">N47</f>
        <v>1388400</v>
      </c>
    </row>
    <row r="53" customFormat="false" ht="15" hidden="false" customHeight="false" outlineLevel="0" collapsed="false">
      <c r="A53" s="4" t="s">
        <v>307</v>
      </c>
      <c r="B53" s="31" t="n">
        <f aca="false">1-B52/B51</f>
        <v>0.11</v>
      </c>
    </row>
    <row r="54" customFormat="false" ht="15" hidden="false" customHeight="false" outlineLevel="0" collapsed="false">
      <c r="A54" s="5" t="s">
        <v>348</v>
      </c>
      <c r="B54" s="10" t="n">
        <f aca="false">$B$38</f>
        <v>0.11</v>
      </c>
    </row>
    <row r="55" customFormat="false" ht="15" hidden="false" customHeight="false" outlineLevel="0" collapsed="false">
      <c r="A55" s="5" t="s">
        <v>349</v>
      </c>
      <c r="B55" s="38" t="n">
        <f aca="false">(B54-B53)*100</f>
        <v>0</v>
      </c>
    </row>
    <row r="56" customFormat="false" ht="15" hidden="false" customHeight="false" outlineLevel="0" collapsed="false">
      <c r="A56" s="4" t="s">
        <v>350</v>
      </c>
      <c r="B56" s="40" t="str">
        <f aca="false">IF(N43&gt;=B36,"Yes, cleared on usage","No, reconciled at term end")</f>
        <v>No, reconciled at term end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7"/>
    <col collapsed="false" customWidth="true" hidden="false" outlineLevel="0" max="6" min="6" style="0" width="50"/>
  </cols>
  <sheetData>
    <row r="1" customFormat="false" ht="17.35" hidden="false" customHeight="false" outlineLevel="0" collapsed="false">
      <c r="A1" s="1" t="s">
        <v>351</v>
      </c>
    </row>
    <row r="2" customFormat="false" ht="15" hidden="false" customHeight="false" outlineLevel="0" collapsed="false">
      <c r="A2" s="2" t="s">
        <v>352</v>
      </c>
    </row>
    <row r="4" customFormat="false" ht="15" hidden="false" customHeight="false" outlineLevel="0" collapsed="false">
      <c r="A4" s="3" t="s">
        <v>353</v>
      </c>
    </row>
    <row r="5" customFormat="false" ht="15" hidden="false" customHeight="false" outlineLevel="0" collapsed="false">
      <c r="A5" s="8" t="s">
        <v>354</v>
      </c>
    </row>
    <row r="6" customFormat="false" ht="15" hidden="false" customHeight="false" outlineLevel="0" collapsed="false">
      <c r="A6" s="8" t="s">
        <v>355</v>
      </c>
    </row>
    <row r="7" customFormat="false" ht="23.85" hidden="false" customHeight="false" outlineLevel="0" collapsed="false">
      <c r="A7" s="6" t="s">
        <v>100</v>
      </c>
      <c r="B7" s="6" t="s">
        <v>101</v>
      </c>
      <c r="C7" s="6" t="s">
        <v>356</v>
      </c>
      <c r="D7" s="6" t="s">
        <v>277</v>
      </c>
      <c r="E7" s="6" t="s">
        <v>356</v>
      </c>
    </row>
    <row r="8" customFormat="false" ht="15" hidden="false" customHeight="false" outlineLevel="0" collapsed="false">
      <c r="A8" s="11" t="s">
        <v>105</v>
      </c>
      <c r="B8" s="35" t="n">
        <f aca="false">Inputs!B23</f>
        <v>50000</v>
      </c>
      <c r="C8" s="16" t="n">
        <f aca="false">B8/(1-Inputs!E23)</f>
        <v>54347.8260869565</v>
      </c>
      <c r="D8" s="35" t="n">
        <f aca="false">Inputs!C23</f>
        <v>4166.66666666667</v>
      </c>
      <c r="E8" s="16" t="n">
        <f aca="false">D8/(1-Inputs!D23)</f>
        <v>4385.9649122807</v>
      </c>
    </row>
    <row r="9" customFormat="false" ht="15" hidden="false" customHeight="false" outlineLevel="0" collapsed="false">
      <c r="A9" s="11" t="s">
        <v>106</v>
      </c>
      <c r="B9" s="35" t="n">
        <f aca="false">Inputs!B24</f>
        <v>250000</v>
      </c>
      <c r="C9" s="16" t="n">
        <f aca="false">B9/(1-Inputs!E24)</f>
        <v>280898.876404494</v>
      </c>
      <c r="D9" s="35" t="n">
        <f aca="false">Inputs!C24</f>
        <v>20833.3333333333</v>
      </c>
      <c r="E9" s="16" t="n">
        <f aca="false">D9/(1-Inputs!D24)</f>
        <v>22644.9275362319</v>
      </c>
    </row>
    <row r="10" customFormat="false" ht="15" hidden="false" customHeight="false" outlineLevel="0" collapsed="false">
      <c r="A10" s="11" t="s">
        <v>107</v>
      </c>
      <c r="B10" s="35" t="n">
        <f aca="false">Inputs!B25</f>
        <v>1000000</v>
      </c>
      <c r="C10" s="16" t="n">
        <f aca="false">B10/(1-Inputs!E25)</f>
        <v>1176470.58823529</v>
      </c>
      <c r="D10" s="35" t="n">
        <f aca="false">Inputs!C25</f>
        <v>83333.3333333333</v>
      </c>
      <c r="E10" s="16" t="n">
        <f aca="false">D10/(1-Inputs!D25)</f>
        <v>94696.9696969697</v>
      </c>
    </row>
    <row r="11" customFormat="false" ht="15" hidden="false" customHeight="false" outlineLevel="0" collapsed="false">
      <c r="A11" s="11" t="s">
        <v>108</v>
      </c>
      <c r="B11" s="35" t="n">
        <f aca="false">Inputs!B26</f>
        <v>5000000</v>
      </c>
      <c r="C11" s="16" t="n">
        <f aca="false">B11/(1-Inputs!E26)</f>
        <v>6250000</v>
      </c>
      <c r="D11" s="35" t="n">
        <f aca="false">Inputs!C26</f>
        <v>416666.666666667</v>
      </c>
      <c r="E11" s="16" t="n">
        <f aca="false">D11/(1-Inputs!D26)</f>
        <v>502008.032128514</v>
      </c>
    </row>
    <row r="13" customFormat="false" ht="15" hidden="false" customHeight="false" outlineLevel="0" collapsed="false">
      <c r="A13" s="3" t="s">
        <v>357</v>
      </c>
    </row>
    <row r="14" customFormat="false" ht="15" hidden="false" customHeight="false" outlineLevel="0" collapsed="false">
      <c r="A14" s="8" t="s">
        <v>358</v>
      </c>
    </row>
    <row r="15" customFormat="false" ht="15" hidden="false" customHeight="false" outlineLevel="0" collapsed="false">
      <c r="A15" s="6" t="s">
        <v>227</v>
      </c>
      <c r="B15" s="6" t="s">
        <v>281</v>
      </c>
    </row>
    <row r="16" customFormat="false" ht="15" hidden="false" customHeight="false" outlineLevel="0" collapsed="false">
      <c r="A16" s="11" t="s">
        <v>114</v>
      </c>
      <c r="B16" s="10" t="n">
        <f aca="false">SUMPRODUCT(Inputs!B30:B33,Inputs!D23:D26)</f>
        <v>0.0647</v>
      </c>
    </row>
    <row r="17" customFormat="false" ht="15" hidden="false" customHeight="false" outlineLevel="0" collapsed="false">
      <c r="A17" s="11" t="s">
        <v>115</v>
      </c>
      <c r="B17" s="10" t="n">
        <f aca="false">SUMPRODUCT(Inputs!C30:C33,Inputs!E23:E26)</f>
        <v>0.111</v>
      </c>
    </row>
    <row r="18" customFormat="false" ht="15" hidden="false" customHeight="false" outlineLevel="0" collapsed="false">
      <c r="A18" s="4" t="s">
        <v>359</v>
      </c>
      <c r="B18" s="10" t="n">
        <f aca="false">B17-B16</f>
        <v>0.0463</v>
      </c>
    </row>
    <row r="20" customFormat="false" ht="15" hidden="false" customHeight="false" outlineLevel="0" collapsed="false">
      <c r="A20" s="3" t="s">
        <v>242</v>
      </c>
    </row>
    <row r="21" customFormat="false" ht="15" hidden="false" customHeight="false" outlineLevel="0" collapsed="false">
      <c r="A21" s="8" t="s">
        <v>360</v>
      </c>
    </row>
    <row r="22" customFormat="false" ht="15" hidden="false" customHeight="false" outlineLevel="0" collapsed="false">
      <c r="A22" s="6" t="s">
        <v>74</v>
      </c>
      <c r="B22" s="6" t="s">
        <v>123</v>
      </c>
      <c r="C22" s="6" t="s">
        <v>114</v>
      </c>
      <c r="D22" s="6" t="s">
        <v>115</v>
      </c>
    </row>
    <row r="23" customFormat="false" ht="15" hidden="false" customHeight="false" outlineLevel="0" collapsed="false">
      <c r="A23" s="5" t="s">
        <v>284</v>
      </c>
      <c r="C23" s="9" t="s">
        <v>361</v>
      </c>
      <c r="D23" s="10" t="n">
        <f aca="false">B16</f>
        <v>0.0647</v>
      </c>
      <c r="E23" s="10" t="n">
        <f aca="false">B17</f>
        <v>0.111</v>
      </c>
    </row>
    <row r="24" customFormat="false" ht="15" hidden="false" customHeight="false" outlineLevel="0" collapsed="false">
      <c r="A24" s="5" t="s">
        <v>116</v>
      </c>
      <c r="C24" s="9" t="s">
        <v>362</v>
      </c>
      <c r="D24" s="10" t="n">
        <f aca="false">Inputs!B38</f>
        <v>0.88</v>
      </c>
      <c r="E24" s="10" t="n">
        <f aca="false">Inputs!C38</f>
        <v>1</v>
      </c>
    </row>
    <row r="25" customFormat="false" ht="15" hidden="false" customHeight="false" outlineLevel="0" collapsed="false">
      <c r="A25" s="5" t="s">
        <v>287</v>
      </c>
      <c r="C25" s="10" t="n">
        <f aca="false">1-C24</f>
        <v>0</v>
      </c>
      <c r="D25" s="10" t="n">
        <f aca="false">1-D24</f>
        <v>0.12</v>
      </c>
      <c r="E25" s="10" t="n">
        <f aca="false">1-E24</f>
        <v>0</v>
      </c>
    </row>
    <row r="26" customFormat="false" ht="15" hidden="false" customHeight="false" outlineLevel="0" collapsed="false">
      <c r="A26" s="5" t="s">
        <v>118</v>
      </c>
      <c r="C26" s="9" t="s">
        <v>361</v>
      </c>
      <c r="D26" s="10" t="n">
        <f aca="false">Inputs!B39</f>
        <v>0.06</v>
      </c>
      <c r="E26" s="10" t="n">
        <f aca="false">Inputs!C39</f>
        <v>0.01</v>
      </c>
    </row>
    <row r="27" customFormat="false" ht="15" hidden="false" customHeight="false" outlineLevel="0" collapsed="false">
      <c r="A27" s="4" t="s">
        <v>289</v>
      </c>
      <c r="C27" s="41" t="n">
        <f aca="false">(C24*(1-C23)+C25)*(1+C26)</f>
        <v>1</v>
      </c>
      <c r="D27" s="41" t="n">
        <f aca="false">(D24*(1-D23)+D25)*(1+D26)</f>
        <v>0.99964784</v>
      </c>
      <c r="E27" s="41" t="n">
        <f aca="false">(E24*(1-E23)+E25)*(1+E26)</f>
        <v>0.89789</v>
      </c>
      <c r="F27" s="8" t="s">
        <v>363</v>
      </c>
    </row>
    <row r="29" customFormat="false" ht="15" hidden="false" customHeight="false" outlineLevel="0" collapsed="false">
      <c r="A29" s="3" t="s">
        <v>364</v>
      </c>
    </row>
    <row r="30" customFormat="false" ht="15" hidden="false" customHeight="false" outlineLevel="0" collapsed="false">
      <c r="A30" s="8" t="s">
        <v>365</v>
      </c>
    </row>
    <row r="31" customFormat="false" ht="15" hidden="false" customHeight="false" outlineLevel="0" collapsed="false">
      <c r="A31" s="6" t="s">
        <v>236</v>
      </c>
      <c r="B31" s="6"/>
      <c r="C31" s="6" t="s">
        <v>123</v>
      </c>
      <c r="D31" s="6" t="s">
        <v>114</v>
      </c>
      <c r="E31" s="6" t="s">
        <v>115</v>
      </c>
      <c r="F31" s="6" t="s">
        <v>366</v>
      </c>
    </row>
    <row r="32" customFormat="false" ht="15" hidden="false" customHeight="false" outlineLevel="0" collapsed="false">
      <c r="A32" s="5" t="s">
        <v>367</v>
      </c>
      <c r="C32" s="25" t="n">
        <f aca="false">Inputs!B43</f>
        <v>0.3</v>
      </c>
      <c r="D32" s="25" t="n">
        <f aca="false">Inputs!B44</f>
        <v>0.25</v>
      </c>
      <c r="E32" s="25" t="n">
        <f aca="false">Inputs!B45</f>
        <v>0.45</v>
      </c>
      <c r="F32" s="10" t="n">
        <f aca="false">SUM(C32:E32)</f>
        <v>1</v>
      </c>
    </row>
    <row r="33" customFormat="false" ht="15" hidden="false" customHeight="false" outlineLevel="0" collapsed="false">
      <c r="A33" s="5" t="s">
        <v>291</v>
      </c>
      <c r="C33" s="29" t="n">
        <f aca="false">Rate_Card!$B$42*C27</f>
        <v>0.581820564248526</v>
      </c>
      <c r="D33" s="29" t="n">
        <f aca="false">Rate_Card!$B$42*D27</f>
        <v>0.58161567031862</v>
      </c>
      <c r="E33" s="29" t="n">
        <f aca="false">Rate_Card!$B$42*E27</f>
        <v>0.522410866433109</v>
      </c>
      <c r="F33" s="42" t="n">
        <f aca="false">SUMPRODUCT($C$32:$E$32,$C$33:$E$33)</f>
        <v>0.555034976749112</v>
      </c>
    </row>
    <row r="34" customFormat="false" ht="15" hidden="false" customHeight="false" outlineLevel="0" collapsed="false">
      <c r="A34" s="5" t="s">
        <v>292</v>
      </c>
      <c r="C34" s="29" t="n">
        <f aca="false">Rate_Card!$B$43</f>
        <v>0.356584653734921</v>
      </c>
      <c r="D34" s="29" t="n">
        <f aca="false">Rate_Card!$B$43</f>
        <v>0.356584653734921</v>
      </c>
      <c r="E34" s="29" t="n">
        <f aca="false">Rate_Card!$B$43</f>
        <v>0.356584653734921</v>
      </c>
      <c r="F34" s="29" t="n">
        <f aca="false">Rate_Card!$B$43</f>
        <v>0.356584653734921</v>
      </c>
    </row>
    <row r="35" customFormat="false" ht="15" hidden="false" customHeight="false" outlineLevel="0" collapsed="false">
      <c r="A35" s="5" t="s">
        <v>293</v>
      </c>
      <c r="C35" s="21" t="n">
        <f aca="false">C33-C34</f>
        <v>0.225235910513605</v>
      </c>
      <c r="D35" s="21" t="n">
        <f aca="false">D33-D34</f>
        <v>0.2250310165837</v>
      </c>
      <c r="E35" s="21" t="n">
        <f aca="false">E33-E34</f>
        <v>0.165826212698188</v>
      </c>
      <c r="F35" s="21" t="n">
        <f aca="false">F33-F34</f>
        <v>0.198450323014191</v>
      </c>
    </row>
    <row r="36" customFormat="false" ht="15" hidden="false" customHeight="false" outlineLevel="0" collapsed="false">
      <c r="A36" s="4" t="s">
        <v>368</v>
      </c>
      <c r="C36" s="10" t="n">
        <f aca="false">C35/C33</f>
        <v>0.387122636004656</v>
      </c>
      <c r="D36" s="10" t="n">
        <f aca="false">D35/D33</f>
        <v>0.386906729078368</v>
      </c>
      <c r="E36" s="10" t="n">
        <f aca="false">E35/E33</f>
        <v>0.317424891695704</v>
      </c>
      <c r="F36" s="31"/>
    </row>
    <row r="37" customFormat="false" ht="15" hidden="false" customHeight="false" outlineLevel="0" collapsed="false">
      <c r="A37" s="4" t="s">
        <v>294</v>
      </c>
      <c r="C37" s="38" t="n">
        <f aca="false">($C$36-C36)*100</f>
        <v>0</v>
      </c>
      <c r="D37" s="38" t="n">
        <f aca="false">($C$36-D36)*100</f>
        <v>0.0215906926287757</v>
      </c>
      <c r="E37" s="38" t="n">
        <f aca="false">($C$36-E36)*100</f>
        <v>6.96977443089518</v>
      </c>
      <c r="F37" s="38" t="n">
        <f aca="false">($C$36-F36)*100</f>
        <v>38.7122636004656</v>
      </c>
    </row>
    <row r="39" customFormat="false" ht="15" hidden="false" customHeight="false" outlineLevel="0" collapsed="false">
      <c r="A39" s="3" t="s">
        <v>369</v>
      </c>
    </row>
    <row r="40" customFormat="false" ht="15" hidden="false" customHeight="false" outlineLevel="0" collapsed="false">
      <c r="A40" s="8" t="s">
        <v>370</v>
      </c>
    </row>
    <row r="41" customFormat="false" ht="15" hidden="false" customHeight="false" outlineLevel="0" collapsed="false">
      <c r="A41" s="6" t="s">
        <v>371</v>
      </c>
      <c r="B41" s="6" t="s">
        <v>372</v>
      </c>
    </row>
    <row r="42" customFormat="false" ht="15" hidden="false" customHeight="false" outlineLevel="0" collapsed="false">
      <c r="A42" s="5" t="s">
        <v>373</v>
      </c>
      <c r="B42" s="25" t="n">
        <f aca="false">Rate_Card!$B$46</f>
        <v>0.368852459016393</v>
      </c>
    </row>
    <row r="43" customFormat="false" ht="15" hidden="false" customHeight="false" outlineLevel="0" collapsed="false">
      <c r="A43" s="5" t="s">
        <v>374</v>
      </c>
      <c r="B43" s="25" t="n">
        <f aca="false">1-(1-B42)/(1-Inputs!B50)</f>
        <v>0.211065573770492</v>
      </c>
    </row>
    <row r="44" customFormat="false" ht="15" hidden="false" customHeight="false" outlineLevel="0" collapsed="false">
      <c r="A44" s="5" t="s">
        <v>375</v>
      </c>
      <c r="B44" s="25" t="n">
        <f aca="false">Inputs!B51</f>
        <v>0.15</v>
      </c>
    </row>
    <row r="45" customFormat="false" ht="15" hidden="false" customHeight="false" outlineLevel="0" collapsed="false">
      <c r="A45" s="5" t="s">
        <v>376</v>
      </c>
      <c r="B45" s="38" t="n">
        <f aca="false">(B43-B44)*100</f>
        <v>6.10655737704916</v>
      </c>
    </row>
    <row r="46" customFormat="false" ht="15" hidden="false" customHeight="false" outlineLevel="0" collapsed="false">
      <c r="A46" s="4" t="s">
        <v>377</v>
      </c>
      <c r="B46" s="43" t="str">
        <f aca="false">IF(B43&gt;=B44,"Holds","BREACH")</f>
        <v>Holds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3"/>
    <col collapsed="false" customWidth="true" hidden="false" outlineLevel="0" max="7" min="7" style="0" width="72"/>
    <col collapsed="false" customWidth="true" hidden="false" outlineLevel="0" max="15" min="8" style="0" width="13"/>
    <col collapsed="false" customWidth="true" hidden="false" outlineLevel="0" max="16" min="16" style="0" width="58"/>
  </cols>
  <sheetData>
    <row r="1" customFormat="false" ht="17.35" hidden="false" customHeight="false" outlineLevel="0" collapsed="false">
      <c r="A1" s="1" t="s">
        <v>18</v>
      </c>
    </row>
    <row r="2" customFormat="false" ht="15" hidden="false" customHeight="false" outlineLevel="0" collapsed="false">
      <c r="A2" s="2" t="s">
        <v>378</v>
      </c>
    </row>
    <row r="4" customFormat="false" ht="15" hidden="false" customHeight="false" outlineLevel="0" collapsed="false">
      <c r="A4" s="3" t="s">
        <v>379</v>
      </c>
    </row>
    <row r="5" customFormat="false" ht="15" hidden="false" customHeight="false" outlineLevel="0" collapsed="false">
      <c r="A5" s="4" t="s">
        <v>380</v>
      </c>
      <c r="P5" s="8" t="s">
        <v>381</v>
      </c>
    </row>
    <row r="6" customFormat="false" ht="15" hidden="false" customHeight="false" outlineLevel="0" collapsed="false">
      <c r="A6" s="4" t="s">
        <v>382</v>
      </c>
      <c r="P6" s="8" t="s">
        <v>383</v>
      </c>
    </row>
    <row r="7" customFormat="false" ht="15" hidden="false" customHeight="false" outlineLevel="0" collapsed="false">
      <c r="A7" s="4" t="s">
        <v>384</v>
      </c>
      <c r="P7" s="8" t="s">
        <v>385</v>
      </c>
    </row>
    <row r="8" customFormat="false" ht="15" hidden="false" customHeight="false" outlineLevel="0" collapsed="false">
      <c r="A8" s="4" t="s">
        <v>386</v>
      </c>
      <c r="P8" s="8" t="s">
        <v>387</v>
      </c>
    </row>
    <row r="10" customFormat="false" ht="15" hidden="false" customHeight="false" outlineLevel="0" collapsed="false">
      <c r="A10" s="3" t="s">
        <v>388</v>
      </c>
    </row>
    <row r="11" customFormat="false" ht="15" hidden="false" customHeight="false" outlineLevel="0" collapsed="false">
      <c r="A11" s="6" t="s">
        <v>236</v>
      </c>
      <c r="B11" s="6" t="s">
        <v>75</v>
      </c>
      <c r="C11" s="6"/>
      <c r="D11" s="6"/>
      <c r="E11" s="6"/>
      <c r="F11" s="6"/>
      <c r="G11" s="6"/>
      <c r="H11" s="6"/>
      <c r="I11" s="6"/>
      <c r="J11" s="6"/>
      <c r="K11" s="6"/>
      <c r="L11" s="6"/>
      <c r="M11" s="6"/>
      <c r="N11" s="6"/>
      <c r="O11" s="6"/>
      <c r="P11" s="6" t="s">
        <v>237</v>
      </c>
    </row>
    <row r="12" customFormat="false" ht="15" hidden="false" customHeight="false" outlineLevel="0" collapsed="false">
      <c r="A12" s="4" t="s">
        <v>389</v>
      </c>
      <c r="B12" s="44" t="n">
        <f aca="false">Inputs!$B$7</f>
        <v>0.45</v>
      </c>
      <c r="P12" s="8" t="s">
        <v>390</v>
      </c>
    </row>
    <row r="13" customFormat="false" ht="15" hidden="false" customHeight="false" outlineLevel="0" collapsed="false">
      <c r="A13" s="4" t="s">
        <v>391</v>
      </c>
      <c r="B13" s="44" t="n">
        <f aca="false">Inputs!$B$6</f>
        <v>0.3</v>
      </c>
      <c r="P13" s="8" t="s">
        <v>392</v>
      </c>
    </row>
    <row r="14" customFormat="false" ht="15" hidden="false" customHeight="false" outlineLevel="0" collapsed="false">
      <c r="A14" s="4" t="s">
        <v>393</v>
      </c>
      <c r="B14" s="44" t="n">
        <f aca="false">Rate_Card!$B$45</f>
        <v>0.387122636004656</v>
      </c>
      <c r="P14" s="8"/>
    </row>
    <row r="15" customFormat="false" ht="15" hidden="false" customHeight="false" outlineLevel="0" collapsed="false">
      <c r="A15" s="4" t="s">
        <v>394</v>
      </c>
      <c r="B15" s="44" t="n">
        <f aca="false">Rate_Card!$B$46</f>
        <v>0.368852459016393</v>
      </c>
      <c r="P15" s="8" t="s">
        <v>395</v>
      </c>
    </row>
    <row r="16" customFormat="false" ht="15" hidden="false" customHeight="false" outlineLevel="0" collapsed="false">
      <c r="A16" s="4" t="s">
        <v>396</v>
      </c>
      <c r="B16" s="44" t="n">
        <f aca="false">Plan_Economics!$B$43</f>
        <v>0.211065573770492</v>
      </c>
      <c r="P16" s="8" t="s">
        <v>397</v>
      </c>
    </row>
    <row r="18" customFormat="false" ht="15" hidden="false" customHeight="false" outlineLevel="0" collapsed="false">
      <c r="A18" s="3" t="s">
        <v>398</v>
      </c>
    </row>
    <row r="19" customFormat="false" ht="15" hidden="false" customHeight="false" outlineLevel="0" collapsed="false">
      <c r="A19" s="8" t="s">
        <v>399</v>
      </c>
    </row>
    <row r="20" customFormat="false" ht="23.85" hidden="false" customHeight="false" outlineLevel="0" collapsed="false">
      <c r="A20" s="6" t="s">
        <v>400</v>
      </c>
      <c r="B20" s="6" t="s">
        <v>401</v>
      </c>
      <c r="C20" s="6" t="s">
        <v>402</v>
      </c>
      <c r="D20" s="6" t="s">
        <v>403</v>
      </c>
      <c r="E20" s="6" t="s">
        <v>293</v>
      </c>
      <c r="F20" s="6" t="s">
        <v>404</v>
      </c>
      <c r="G20" s="6" t="s">
        <v>405</v>
      </c>
    </row>
    <row r="21" customFormat="false" ht="15" hidden="false" customHeight="false" outlineLevel="0" collapsed="false">
      <c r="A21" s="9" t="n">
        <v>0.3</v>
      </c>
      <c r="B21" s="31" t="n">
        <f aca="false">IFERROR(INDEX($B$101:$B$146,MATCH(A21,$F$101:$F$146,1)+1),"Not reachable")</f>
        <v>0.31</v>
      </c>
      <c r="C21" s="38" t="n">
        <f aca="false">IFERROR((B21-Inputs!$B$6)*100,"")</f>
        <v>1</v>
      </c>
      <c r="D21" s="21" t="n">
        <f aca="false">IFERROR(INDEX($D$101:$D$146,MATCH(A21,$F$101:$F$146,1)+1),"")</f>
        <v>0.643901389409161</v>
      </c>
      <c r="E21" s="21" t="n">
        <f aca="false">IFERROR(INDEX($G$101:$G$146,MATCH(A21,$F$101:$F$146,1)+1),"")</f>
        <v>0.196549732905352</v>
      </c>
      <c r="F21" s="16" t="n">
        <f aca="false">IFERROR(INDEX($J$101:$J$146,MATCH(A21,$F$101:$F$146,1)+1),"")</f>
        <v>489495.318923662</v>
      </c>
      <c r="G21" s="19" t="str">
        <f aca="false">IF(NOT(ISNUMBER(B21)),"Out of range",IF(B21&lt;=0.45,"Achievable",IF(B21&lt;=0.55,"Hard ask","Unlikely")))</f>
        <v>Achievable</v>
      </c>
      <c r="P21" s="8" t="s">
        <v>406</v>
      </c>
    </row>
    <row r="22" customFormat="false" ht="15" hidden="false" customHeight="false" outlineLevel="0" collapsed="false">
      <c r="A22" s="9" t="n">
        <v>0.35</v>
      </c>
      <c r="B22" s="31" t="n">
        <f aca="false">IFERROR(INDEX($B$101:$B$146,MATCH(A22,$F$101:$F$146,1)+1),"Not reachable")</f>
        <v>0.4</v>
      </c>
      <c r="C22" s="38" t="n">
        <f aca="false">IFERROR((B22-Inputs!$B$6)*100,"")</f>
        <v>10</v>
      </c>
      <c r="D22" s="21" t="n">
        <f aca="false">IFERROR(INDEX($D$101:$D$146,MATCH(A22,$F$101:$F$146,1)+1),"")</f>
        <v>0.603992287520181</v>
      </c>
      <c r="E22" s="21" t="n">
        <f aca="false">IFERROR(INDEX($G$101:$G$146,MATCH(A22,$F$101:$F$146,1)+1),"")</f>
        <v>0.214990847082086</v>
      </c>
      <c r="F22" s="16" t="n">
        <f aca="false">IFERROR(INDEX($J$101:$J$146,MATCH(A22,$F$101:$F$146,1)+1),"")</f>
        <v>541607.156582087</v>
      </c>
      <c r="G22" s="19" t="str">
        <f aca="false">IF(NOT(ISNUMBER(B22)),"Out of range",IF(B22&lt;=0.45,"Achievable",IF(B22&lt;=0.55,"Hard ask","Unlikely")))</f>
        <v>Achievable</v>
      </c>
    </row>
    <row r="23" customFormat="false" ht="15" hidden="false" customHeight="false" outlineLevel="0" collapsed="false">
      <c r="A23" s="9" t="n">
        <v>0.4</v>
      </c>
      <c r="B23" s="31" t="n">
        <f aca="false">IFERROR(INDEX($B$101:$B$146,MATCH(A23,$F$101:$F$146,1)+1),"Not reachable")</f>
        <v>0.47</v>
      </c>
      <c r="C23" s="38" t="n">
        <f aca="false">IFERROR((B23-Inputs!$B$6)*100,"")</f>
        <v>17</v>
      </c>
      <c r="D23" s="21" t="n">
        <f aca="false">IFERROR(INDEX($D$101:$D$146,MATCH(A23,$F$101:$F$146,1)+1),"")</f>
        <v>0.572951874939864</v>
      </c>
      <c r="E23" s="21" t="n">
        <f aca="false">IFERROR(INDEX($G$101:$G$146,MATCH(A23,$F$101:$F$146,1)+1),"")</f>
        <v>0.229333935886213</v>
      </c>
      <c r="F23" s="16" t="n">
        <f aca="false">IFERROR(INDEX($J$101:$J$146,MATCH(A23,$F$101:$F$146,1)+1),"")</f>
        <v>582138.585871973</v>
      </c>
      <c r="G23" s="19" t="str">
        <f aca="false">IF(NOT(ISNUMBER(B23)),"Out of range",IF(B23&lt;=0.45,"Achievable",IF(B23&lt;=0.55,"Hard ask","Unlikely")))</f>
        <v>Hard ask</v>
      </c>
    </row>
    <row r="24" customFormat="false" ht="15" hidden="false" customHeight="false" outlineLevel="0" collapsed="false">
      <c r="A24" s="9" t="n">
        <v>0.45</v>
      </c>
      <c r="B24" s="31" t="n">
        <f aca="false">IFERROR(INDEX($B$101:$B$146,MATCH(A24,$F$101:$F$146,1)+1),"Not reachable")</f>
        <v>0.55</v>
      </c>
      <c r="C24" s="38" t="n">
        <f aca="false">IFERROR((B24-Inputs!$B$6)*100,"")</f>
        <v>25</v>
      </c>
      <c r="D24" s="21" t="n">
        <f aca="false">IFERROR(INDEX($D$101:$D$146,MATCH(A24,$F$101:$F$146,1)+1),"")</f>
        <v>0.537477117705215</v>
      </c>
      <c r="E24" s="21" t="n">
        <f aca="false">IFERROR(INDEX($G$101:$G$146,MATCH(A24,$F$101:$F$146,1)+1),"")</f>
        <v>0.245726037376644</v>
      </c>
      <c r="F24" s="16" t="n">
        <f aca="false">IFERROR(INDEX($J$101:$J$146,MATCH(A24,$F$101:$F$146,1)+1),"")</f>
        <v>628460.219346129</v>
      </c>
      <c r="G24" s="19" t="str">
        <f aca="false">IF(NOT(ISNUMBER(B24)),"Out of range",IF(B24&lt;=0.45,"Achievable",IF(B24&lt;=0.55,"Hard ask","Unlikely")))</f>
        <v>Hard ask</v>
      </c>
    </row>
    <row r="25" customFormat="false" ht="15" hidden="false" customHeight="false" outlineLevel="0" collapsed="false">
      <c r="A25" s="9" t="n">
        <v>0.5</v>
      </c>
      <c r="B25" s="31" t="n">
        <f aca="false">IFERROR(INDEX($B$101:$B$146,MATCH(A25,$F$101:$F$146,1)+1),"Not reachable")</f>
        <v>0.61</v>
      </c>
      <c r="C25" s="38" t="n">
        <f aca="false">IFERROR((B25-Inputs!$B$6)*100,"")</f>
        <v>31</v>
      </c>
      <c r="D25" s="21" t="n">
        <f aca="false">IFERROR(INDEX($D$101:$D$146,MATCH(A25,$F$101:$F$146,1)+1),"")</f>
        <v>0.510871049779229</v>
      </c>
      <c r="E25" s="21" t="n">
        <f aca="false">IFERROR(INDEX($G$101:$G$146,MATCH(A25,$F$101:$F$146,1)+1),"")</f>
        <v>0.258020113494467</v>
      </c>
      <c r="F25" s="16" t="n">
        <f aca="false">IFERROR(INDEX($J$101:$J$146,MATCH(A25,$F$101:$F$146,1)+1),"")</f>
        <v>663201.444451746</v>
      </c>
      <c r="G25" s="19" t="str">
        <f aca="false">IF(NOT(ISNUMBER(B25)),"Out of range",IF(B25&lt;=0.45,"Achievable",IF(B25&lt;=0.55,"Hard ask","Unlikely")))</f>
        <v>Unlikely</v>
      </c>
    </row>
    <row r="26" customFormat="false" ht="15" hidden="false" customHeight="false" outlineLevel="0" collapsed="false">
      <c r="A26" s="9" t="n">
        <v>0.55</v>
      </c>
      <c r="B26" s="31" t="n">
        <f aca="false">IFERROR(INDEX($B$101:$B$146,MATCH(A26,$F$101:$F$146,1)+1),"Not reachable")</f>
        <v>0.67</v>
      </c>
      <c r="C26" s="38" t="n">
        <f aca="false">IFERROR((B26-Inputs!$B$6)*100,"")</f>
        <v>37</v>
      </c>
      <c r="D26" s="21" t="n">
        <f aca="false">IFERROR(INDEX($D$101:$D$146,MATCH(A26,$F$101:$F$146,1)+1),"")</f>
        <v>0.484264981853243</v>
      </c>
      <c r="E26" s="21" t="n">
        <f aca="false">IFERROR(INDEX($G$101:$G$146,MATCH(A26,$F$101:$F$146,1)+1),"")</f>
        <v>0.27031418961229</v>
      </c>
      <c r="F26" s="16" t="n">
        <f aca="false">IFERROR(INDEX($J$101:$J$146,MATCH(A26,$F$101:$F$146,1)+1),"")</f>
        <v>697942.669557363</v>
      </c>
      <c r="G26" s="19" t="str">
        <f aca="false">IF(NOT(ISNUMBER(B26)),"Out of range",IF(B26&lt;=0.45,"Achievable",IF(B26&lt;=0.55,"Hard ask","Unlikely")))</f>
        <v>Unlikely</v>
      </c>
    </row>
    <row r="29" customFormat="false" ht="15" hidden="false" customHeight="false" outlineLevel="0" collapsed="false">
      <c r="A29" s="3" t="s">
        <v>407</v>
      </c>
    </row>
    <row r="30" customFormat="false" ht="23.85" hidden="false" customHeight="false" outlineLevel="0" collapsed="false">
      <c r="A30" s="6" t="s">
        <v>278</v>
      </c>
      <c r="B30" s="6" t="s">
        <v>166</v>
      </c>
      <c r="C30" s="6" t="s">
        <v>408</v>
      </c>
      <c r="D30" s="6" t="s">
        <v>409</v>
      </c>
      <c r="E30" s="6" t="s">
        <v>293</v>
      </c>
      <c r="F30" s="6" t="s">
        <v>410</v>
      </c>
      <c r="G30" s="6" t="s">
        <v>411</v>
      </c>
      <c r="H30" s="6" t="s">
        <v>412</v>
      </c>
      <c r="I30" s="6" t="s">
        <v>413</v>
      </c>
      <c r="J30" s="6" t="s">
        <v>404</v>
      </c>
      <c r="K30" s="6" t="s">
        <v>414</v>
      </c>
      <c r="L30" s="6" t="s">
        <v>415</v>
      </c>
      <c r="M30" s="6" t="s">
        <v>416</v>
      </c>
      <c r="N30" s="6" t="s">
        <v>417</v>
      </c>
    </row>
    <row r="31" customFormat="false" ht="15" hidden="false" customHeight="false" outlineLevel="0" collapsed="false">
      <c r="A31" s="9" t="n">
        <v>0.25</v>
      </c>
      <c r="B31" s="19" t="str">
        <f aca="false">IF(A31&gt;Inputs!$B$6,"Yes","NO BAND")</f>
        <v>NO BAND</v>
      </c>
      <c r="C31" s="21" t="n">
        <f aca="false">Rate_Card!$I$36*Rate_Card!$K$36*(((1-$A31)/(1-Inputs!$B$6))+Rate_Card!$L$36*(1-((1-$A31)/(1-Inputs!$B$6))))+Rate_Card!$I$37*Rate_Card!$K$37*(((1-$A31)/(1-Inputs!$B$6))+Rate_Card!$L$37*(1-((1-$A31)/(1-Inputs!$B$6))))+Rate_Card!$I$38*Rate_Card!$K$38*(((1-$A31)/(1-Inputs!$B$6))+Rate_Card!$L$38*(1-((1-$A31)/(1-Inputs!$B$6))))+Rate_Card!$I$39*Rate_Card!$K$39*(((1-$A31)/(1-Inputs!$B$6))+Rate_Card!$L$39*(1-((1-$A31)/(1-Inputs!$B$6))))</f>
        <v>0.670507457335147</v>
      </c>
      <c r="D31" s="21" t="n">
        <f aca="false">Rate_Card!$I$36*Rate_Card!$K$36*(1-$A31)+Rate_Card!$I$37*Rate_Card!$K$37*(1-$A31)+Rate_Card!$I$38*Rate_Card!$K$38*(1-$A31)+Rate_Card!$I$39*Rate_Card!$K$39*(1-$A31)</f>
        <v>0.486251800547619</v>
      </c>
      <c r="E31" s="21" t="n">
        <f aca="false">C31-D31</f>
        <v>0.184255656787528</v>
      </c>
      <c r="F31" s="10" t="n">
        <f aca="false">IF(C31=0,0,E31/C31)</f>
        <v>0.274800309484745</v>
      </c>
      <c r="G31" s="10" t="n">
        <f aca="false">MIN(1-(1-$A31)/(((1-$A31)/(1-Inputs!$B$6))+Rate_Card!$L$36*(1-((1-$A31)/(1-Inputs!$B$6)))),1-(1-$A31)/(((1-$A31)/(1-Inputs!$B$6))+Rate_Card!$L$37*(1-((1-$A31)/(1-Inputs!$B$6)))),1-(1-$A31)/(((1-$A31)/(1-Inputs!$B$6))+Rate_Card!$L$38*(1-((1-$A31)/(1-Inputs!$B$6)))),1-(1-$A31)/(((1-$A31)/(1-Inputs!$B$6))+Rate_Card!$L$39*(1-((1-$A31)/(1-Inputs!$B$6)))))</f>
        <v>0.270833333333333</v>
      </c>
      <c r="H31" s="10" t="n">
        <f aca="false">1-D31/(C31*Commit_Annual!$B$27)</f>
        <v>0.192329026367089</v>
      </c>
      <c r="I31" s="16" t="n">
        <f aca="false">Forecast_12M!$N$11*C31/Rate_Card!$B$42</f>
        <v>1763949.05941423</v>
      </c>
      <c r="J31" s="16" t="n">
        <f aca="false">I31-Forecast_12M!$N$5*D31</f>
        <v>454754.093818045</v>
      </c>
      <c r="K31" s="16" t="n">
        <f aca="false">J31-Forecast_12M!$N$15</f>
        <v>-445245.906181956</v>
      </c>
      <c r="L31" s="23" t="n">
        <f aca="false">Inputs!$B$59/(C31*(Forecast_12M!$M$10/Rate_Card!$B$42)-D31)</f>
        <v>488958.843498481</v>
      </c>
      <c r="P31" s="8" t="s">
        <v>418</v>
      </c>
    </row>
    <row r="32" customFormat="false" ht="15" hidden="false" customHeight="false" outlineLevel="0" collapsed="false">
      <c r="A32" s="9" t="n">
        <v>0.3</v>
      </c>
      <c r="B32" s="19" t="str">
        <f aca="false">IF(A32&gt;Inputs!$B$6,"Yes","NO BAND")</f>
        <v>NO BAND</v>
      </c>
      <c r="C32" s="21" t="n">
        <f aca="false">Rate_Card!$I$36*Rate_Card!$K$36*(((1-$A32)/(1-Inputs!$B$6))+Rate_Card!$L$36*(1-((1-$A32)/(1-Inputs!$B$6))))+Rate_Card!$I$37*Rate_Card!$K$37*(((1-$A32)/(1-Inputs!$B$6))+Rate_Card!$L$37*(1-((1-$A32)/(1-Inputs!$B$6))))+Rate_Card!$I$38*Rate_Card!$K$38*(((1-$A32)/(1-Inputs!$B$6))+Rate_Card!$L$38*(1-((1-$A32)/(1-Inputs!$B$6))))+Rate_Card!$I$39*Rate_Card!$K$39*(((1-$A32)/(1-Inputs!$B$6))+Rate_Card!$L$39*(1-((1-$A32)/(1-Inputs!$B$6))))</f>
        <v>0.648335734063492</v>
      </c>
      <c r="D32" s="21" t="n">
        <f aca="false">Rate_Card!$I$36*Rate_Card!$K$36*(1-$A32)+Rate_Card!$I$37*Rate_Card!$K$37*(1-$A32)+Rate_Card!$I$38*Rate_Card!$K$38*(1-$A32)+Rate_Card!$I$39*Rate_Card!$K$39*(1-$A32)</f>
        <v>0.453835013844444</v>
      </c>
      <c r="E32" s="21" t="n">
        <f aca="false">C32-D32</f>
        <v>0.194500720219048</v>
      </c>
      <c r="F32" s="10" t="n">
        <f aca="false">IF(C32=0,0,E32/C32)</f>
        <v>0.3</v>
      </c>
      <c r="G32" s="10" t="n">
        <f aca="false">MIN(1-(1-$A32)/(((1-$A32)/(1-Inputs!$B$6))+Rate_Card!$L$36*(1-((1-$A32)/(1-Inputs!$B$6)))),1-(1-$A32)/(((1-$A32)/(1-Inputs!$B$6))+Rate_Card!$L$37*(1-((1-$A32)/(1-Inputs!$B$6)))),1-(1-$A32)/(((1-$A32)/(1-Inputs!$B$6))+Rate_Card!$L$38*(1-((1-$A32)/(1-Inputs!$B$6)))),1-(1-$A32)/(((1-$A32)/(1-Inputs!$B$6))+Rate_Card!$L$39*(1-((1-$A32)/(1-Inputs!$B$6)))))</f>
        <v>0.3</v>
      </c>
      <c r="H32" s="10" t="n">
        <f aca="false">1-D32/(C32*Commit_Annual!$B$27)</f>
        <v>0.220394480392921</v>
      </c>
      <c r="I32" s="16" t="n">
        <f aca="false">Forecast_12M!$N$11*C32/Rate_Card!$B$42</f>
        <v>1705620.4159625</v>
      </c>
      <c r="J32" s="16" t="n">
        <f aca="false">I32-Forecast_12M!$N$5*D32</f>
        <v>483705.114739392</v>
      </c>
      <c r="K32" s="16" t="n">
        <f aca="false">J32-Forecast_12M!$N$15</f>
        <v>-416294.885260608</v>
      </c>
      <c r="L32" s="23" t="n">
        <f aca="false">Inputs!$B$59/(C32*(Forecast_12M!$M$10/Rate_Card!$B$42)-D32)</f>
        <v>455503.563698881</v>
      </c>
      <c r="M32" s="38" t="n">
        <f aca="false">(F32-F31)*100</f>
        <v>2.51996905152546</v>
      </c>
      <c r="N32" s="16" t="n">
        <f aca="false">J32-J31</f>
        <v>28951.0209213479</v>
      </c>
    </row>
    <row r="33" customFormat="false" ht="15" hidden="false" customHeight="false" outlineLevel="0" collapsed="false">
      <c r="A33" s="9" t="n">
        <v>0.35</v>
      </c>
      <c r="B33" s="19" t="str">
        <f aca="false">IF(A33&gt;Inputs!$B$6,"Yes","NO BAND")</f>
        <v>Yes</v>
      </c>
      <c r="C33" s="21" t="n">
        <f aca="false">Rate_Card!$I$36*Rate_Card!$K$36*(((1-$A33)/(1-Inputs!$B$6))+Rate_Card!$L$36*(1-((1-$A33)/(1-Inputs!$B$6))))+Rate_Card!$I$37*Rate_Card!$K$37*(((1-$A33)/(1-Inputs!$B$6))+Rate_Card!$L$37*(1-((1-$A33)/(1-Inputs!$B$6))))+Rate_Card!$I$38*Rate_Card!$K$38*(((1-$A33)/(1-Inputs!$B$6))+Rate_Card!$L$38*(1-((1-$A33)/(1-Inputs!$B$6))))+Rate_Card!$I$39*Rate_Card!$K$39*(((1-$A33)/(1-Inputs!$B$6))+Rate_Card!$L$39*(1-((1-$A33)/(1-Inputs!$B$6))))</f>
        <v>0.626164010791837</v>
      </c>
      <c r="D33" s="21" t="n">
        <f aca="false">Rate_Card!$I$36*Rate_Card!$K$36*(1-$A33)+Rate_Card!$I$37*Rate_Card!$K$37*(1-$A33)+Rate_Card!$I$38*Rate_Card!$K$38*(1-$A33)+Rate_Card!$I$39*Rate_Card!$K$39*(1-$A33)</f>
        <v>0.42141822714127</v>
      </c>
      <c r="E33" s="21" t="n">
        <f aca="false">C33-D33</f>
        <v>0.204745783650567</v>
      </c>
      <c r="F33" s="10" t="n">
        <f aca="false">IF(C33=0,0,E33/C33)</f>
        <v>0.326984272685441</v>
      </c>
      <c r="G33" s="10" t="n">
        <f aca="false">MIN(1-(1-$A33)/(((1-$A33)/(1-Inputs!$B$6))+Rate_Card!$L$36*(1-((1-$A33)/(1-Inputs!$B$6)))),1-(1-$A33)/(((1-$A33)/(1-Inputs!$B$6))+Rate_Card!$L$37*(1-((1-$A33)/(1-Inputs!$B$6)))),1-(1-$A33)/(((1-$A33)/(1-Inputs!$B$6))+Rate_Card!$L$38*(1-((1-$A33)/(1-Inputs!$B$6)))),1-(1-$A33)/(((1-$A33)/(1-Inputs!$B$6))+Rate_Card!$L$39*(1-((1-$A33)/(1-Inputs!$B$6)))))</f>
        <v>0.32089552238806</v>
      </c>
      <c r="H33" s="10" t="n">
        <f aca="false">1-D33/(C33*Commit_Annual!$B$27)</f>
        <v>0.250447463147424</v>
      </c>
      <c r="I33" s="16" t="n">
        <f aca="false">Forecast_12M!$N$11*C33/Rate_Card!$B$42</f>
        <v>1647291.77251077</v>
      </c>
      <c r="J33" s="16" t="n">
        <f aca="false">I33-Forecast_12M!$N$5*D33</f>
        <v>512656.13566074</v>
      </c>
      <c r="K33" s="16" t="n">
        <f aca="false">J33-Forecast_12M!$N$15</f>
        <v>-387343.86433926</v>
      </c>
      <c r="L33" s="23" t="n">
        <f aca="false">Inputs!$B$59/(C33*(Forecast_12M!$M$10/Rate_Card!$B$42)-D33)</f>
        <v>426333.220682397</v>
      </c>
      <c r="M33" s="38" t="n">
        <f aca="false">(F33-F32)*100</f>
        <v>2.69842726854405</v>
      </c>
      <c r="N33" s="16" t="n">
        <f aca="false">J33-J32</f>
        <v>28951.0209213479</v>
      </c>
    </row>
    <row r="34" customFormat="false" ht="15" hidden="false" customHeight="false" outlineLevel="0" collapsed="false">
      <c r="A34" s="9" t="n">
        <v>0.4</v>
      </c>
      <c r="B34" s="19" t="str">
        <f aca="false">IF(A34&gt;Inputs!$B$6,"Yes","NO BAND")</f>
        <v>Yes</v>
      </c>
      <c r="C34" s="21" t="n">
        <f aca="false">Rate_Card!$I$36*Rate_Card!$K$36*(((1-$A34)/(1-Inputs!$B$6))+Rate_Card!$L$36*(1-((1-$A34)/(1-Inputs!$B$6))))+Rate_Card!$I$37*Rate_Card!$K$37*(((1-$A34)/(1-Inputs!$B$6))+Rate_Card!$L$37*(1-((1-$A34)/(1-Inputs!$B$6))))+Rate_Card!$I$38*Rate_Card!$K$38*(((1-$A34)/(1-Inputs!$B$6))+Rate_Card!$L$38*(1-((1-$A34)/(1-Inputs!$B$6))))+Rate_Card!$I$39*Rate_Card!$K$39*(((1-$A34)/(1-Inputs!$B$6))+Rate_Card!$L$39*(1-((1-$A34)/(1-Inputs!$B$6))))</f>
        <v>0.603992287520181</v>
      </c>
      <c r="D34" s="21" t="n">
        <f aca="false">Rate_Card!$I$36*Rate_Card!$K$36*(1-$A34)+Rate_Card!$I$37*Rate_Card!$K$37*(1-$A34)+Rate_Card!$I$38*Rate_Card!$K$38*(1-$A34)+Rate_Card!$I$39*Rate_Card!$K$39*(1-$A34)</f>
        <v>0.389001440438095</v>
      </c>
      <c r="E34" s="21" t="n">
        <f aca="false">C34-D34</f>
        <v>0.214990847082086</v>
      </c>
      <c r="F34" s="10" t="n">
        <f aca="false">IF(C34=0,0,E34/C34)</f>
        <v>0.355949656186467</v>
      </c>
      <c r="G34" s="10" t="n">
        <f aca="false">MIN(1-(1-$A34)/(((1-$A34)/(1-Inputs!$B$6))+Rate_Card!$L$36*(1-((1-$A34)/(1-Inputs!$B$6)))),1-(1-$A34)/(((1-$A34)/(1-Inputs!$B$6))+Rate_Card!$L$37*(1-((1-$A34)/(1-Inputs!$B$6)))),1-(1-$A34)/(((1-$A34)/(1-Inputs!$B$6))+Rate_Card!$L$38*(1-((1-$A34)/(1-Inputs!$B$6)))),1-(1-$A34)/(((1-$A34)/(1-Inputs!$B$6))+Rate_Card!$L$39*(1-((1-$A34)/(1-Inputs!$B$6)))))</f>
        <v>0.34375</v>
      </c>
      <c r="H34" s="10" t="n">
        <f aca="false">1-D34/(C34*Commit_Annual!$B$27)</f>
        <v>0.28270685294019</v>
      </c>
      <c r="I34" s="16" t="n">
        <f aca="false">Forecast_12M!$N$11*C34/Rate_Card!$B$42</f>
        <v>1588963.12905904</v>
      </c>
      <c r="J34" s="16" t="n">
        <f aca="false">I34-Forecast_12M!$N$5*D34</f>
        <v>541607.156582087</v>
      </c>
      <c r="K34" s="16" t="n">
        <f aca="false">J34-Forecast_12M!$N$15</f>
        <v>-358392.843417913</v>
      </c>
      <c r="L34" s="23" t="n">
        <f aca="false">Inputs!$B$59/(C34*(Forecast_12M!$M$10/Rate_Card!$B$42)-D34)</f>
        <v>400674.14121821</v>
      </c>
      <c r="M34" s="38" t="n">
        <f aca="false">(F34-F33)*100</f>
        <v>2.89653835010263</v>
      </c>
      <c r="N34" s="16" t="n">
        <f aca="false">J34-J33</f>
        <v>28951.0209213467</v>
      </c>
    </row>
    <row r="35" customFormat="false" ht="15" hidden="false" customHeight="false" outlineLevel="0" collapsed="false">
      <c r="A35" s="7" t="n">
        <v>0.45</v>
      </c>
      <c r="B35" s="19" t="str">
        <f aca="false">IF(A35&gt;Inputs!$B$6,"Yes","NO BAND")</f>
        <v>Yes</v>
      </c>
      <c r="C35" s="21" t="n">
        <f aca="false">Rate_Card!$I$36*Rate_Card!$K$36*(((1-$A35)/(1-Inputs!$B$6))+Rate_Card!$L$36*(1-((1-$A35)/(1-Inputs!$B$6))))+Rate_Card!$I$37*Rate_Card!$K$37*(((1-$A35)/(1-Inputs!$B$6))+Rate_Card!$L$37*(1-((1-$A35)/(1-Inputs!$B$6))))+Rate_Card!$I$38*Rate_Card!$K$38*(((1-$A35)/(1-Inputs!$B$6))+Rate_Card!$L$38*(1-((1-$A35)/(1-Inputs!$B$6))))+Rate_Card!$I$39*Rate_Card!$K$39*(((1-$A35)/(1-Inputs!$B$6))+Rate_Card!$L$39*(1-((1-$A35)/(1-Inputs!$B$6))))</f>
        <v>0.581820564248526</v>
      </c>
      <c r="D35" s="21" t="n">
        <f aca="false">Rate_Card!$I$36*Rate_Card!$K$36*(1-$A35)+Rate_Card!$I$37*Rate_Card!$K$37*(1-$A35)+Rate_Card!$I$38*Rate_Card!$K$38*(1-$A35)+Rate_Card!$I$39*Rate_Card!$K$39*(1-$A35)</f>
        <v>0.356584653734921</v>
      </c>
      <c r="E35" s="21" t="n">
        <f aca="false">C35-D35</f>
        <v>0.225235910513605</v>
      </c>
      <c r="F35" s="10" t="n">
        <f aca="false">IF(C35=0,0,E35/C35)</f>
        <v>0.387122636004656</v>
      </c>
      <c r="G35" s="10" t="n">
        <f aca="false">MIN(1-(1-$A35)/(((1-$A35)/(1-Inputs!$B$6))+Rate_Card!$L$36*(1-((1-$A35)/(1-Inputs!$B$6)))),1-(1-$A35)/(((1-$A35)/(1-Inputs!$B$6))+Rate_Card!$L$37*(1-((1-$A35)/(1-Inputs!$B$6)))),1-(1-$A35)/(((1-$A35)/(1-Inputs!$B$6))+Rate_Card!$L$38*(1-((1-$A35)/(1-Inputs!$B$6)))),1-(1-$A35)/(((1-$A35)/(1-Inputs!$B$6))+Rate_Card!$L$39*(1-((1-$A35)/(1-Inputs!$B$6)))))</f>
        <v>0.368852459016393</v>
      </c>
      <c r="H35" s="10" t="n">
        <f aca="false">1-D35/(C35*Commit_Annual!$B$27)</f>
        <v>0.317424891695704</v>
      </c>
      <c r="I35" s="16" t="n">
        <f aca="false">Forecast_12M!$N$11*C35/Rate_Card!$B$42</f>
        <v>1530634.4856073</v>
      </c>
      <c r="J35" s="16" t="n">
        <f aca="false">I35-Forecast_12M!$N$5*D35</f>
        <v>570558.177503434</v>
      </c>
      <c r="K35" s="16" t="n">
        <f aca="false">J35-Forecast_12M!$N$15</f>
        <v>-329441.822496566</v>
      </c>
      <c r="L35" s="23" t="n">
        <f aca="false">Inputs!$B$59/(C35*(Forecast_12M!$M$10/Rate_Card!$B$42)-D35)</f>
        <v>377928.334209044</v>
      </c>
      <c r="M35" s="38" t="n">
        <f aca="false">(F35-F34)*100</f>
        <v>3.11729798181887</v>
      </c>
      <c r="N35" s="16" t="n">
        <f aca="false">J35-J34</f>
        <v>28951.0209213473</v>
      </c>
    </row>
    <row r="36" customFormat="false" ht="15" hidden="false" customHeight="false" outlineLevel="0" collapsed="false">
      <c r="A36" s="9" t="n">
        <v>0.5</v>
      </c>
      <c r="B36" s="19" t="str">
        <f aca="false">IF(A36&gt;Inputs!$B$6,"Yes","NO BAND")</f>
        <v>Yes</v>
      </c>
      <c r="C36" s="21" t="n">
        <f aca="false">Rate_Card!$I$36*Rate_Card!$K$36*(((1-$A36)/(1-Inputs!$B$6))+Rate_Card!$L$36*(1-((1-$A36)/(1-Inputs!$B$6))))+Rate_Card!$I$37*Rate_Card!$K$37*(((1-$A36)/(1-Inputs!$B$6))+Rate_Card!$L$37*(1-((1-$A36)/(1-Inputs!$B$6))))+Rate_Card!$I$38*Rate_Card!$K$38*(((1-$A36)/(1-Inputs!$B$6))+Rate_Card!$L$38*(1-((1-$A36)/(1-Inputs!$B$6))))+Rate_Card!$I$39*Rate_Card!$K$39*(((1-$A36)/(1-Inputs!$B$6))+Rate_Card!$L$39*(1-((1-$A36)/(1-Inputs!$B$6))))</f>
        <v>0.559648840976871</v>
      </c>
      <c r="D36" s="21" t="n">
        <f aca="false">Rate_Card!$I$36*Rate_Card!$K$36*(1-$A36)+Rate_Card!$I$37*Rate_Card!$K$37*(1-$A36)+Rate_Card!$I$38*Rate_Card!$K$38*(1-$A36)+Rate_Card!$I$39*Rate_Card!$K$39*(1-$A36)</f>
        <v>0.324167867031746</v>
      </c>
      <c r="E36" s="21" t="n">
        <f aca="false">C36-D36</f>
        <v>0.235480973945125</v>
      </c>
      <c r="F36" s="10" t="n">
        <f aca="false">IF(C36=0,0,E36/C36)</f>
        <v>0.420765588532429</v>
      </c>
      <c r="G36" s="10" t="n">
        <f aca="false">MIN(1-(1-$A36)/(((1-$A36)/(1-Inputs!$B$6))+Rate_Card!$L$36*(1-((1-$A36)/(1-Inputs!$B$6)))),1-(1-$A36)/(((1-$A36)/(1-Inputs!$B$6))+Rate_Card!$L$37*(1-((1-$A36)/(1-Inputs!$B$6)))),1-(1-$A36)/(((1-$A36)/(1-Inputs!$B$6))+Rate_Card!$L$38*(1-((1-$A36)/(1-Inputs!$B$6)))),1-(1-$A36)/(((1-$A36)/(1-Inputs!$B$6))+Rate_Card!$L$39*(1-((1-$A36)/(1-Inputs!$B$6)))))</f>
        <v>0.396551724137931</v>
      </c>
      <c r="H36" s="10" t="n">
        <f aca="false">1-D36/(C36*Commit_Annual!$B$27)</f>
        <v>0.35489379381932</v>
      </c>
      <c r="I36" s="16" t="n">
        <f aca="false">Forecast_12M!$N$11*C36/Rate_Card!$B$42</f>
        <v>1472305.84215557</v>
      </c>
      <c r="J36" s="16" t="n">
        <f aca="false">I36-Forecast_12M!$N$5*D36</f>
        <v>599509.198424782</v>
      </c>
      <c r="K36" s="16" t="n">
        <f aca="false">J36-Forecast_12M!$N$15</f>
        <v>-300490.801575218</v>
      </c>
      <c r="L36" s="23" t="n">
        <f aca="false">Inputs!$B$59/(C36*(Forecast_12M!$M$10/Rate_Card!$B$42)-D36)</f>
        <v>357626.303118628</v>
      </c>
      <c r="M36" s="38" t="n">
        <f aca="false">(F36-F35)*100</f>
        <v>3.36429525277733</v>
      </c>
      <c r="N36" s="16" t="n">
        <f aca="false">J36-J35</f>
        <v>28951.0209213472</v>
      </c>
    </row>
    <row r="37" customFormat="false" ht="15" hidden="false" customHeight="false" outlineLevel="0" collapsed="false">
      <c r="A37" s="9" t="n">
        <v>0.55</v>
      </c>
      <c r="B37" s="19" t="str">
        <f aca="false">IF(A37&gt;Inputs!$B$6,"Yes","NO BAND")</f>
        <v>Yes</v>
      </c>
      <c r="C37" s="21" t="n">
        <f aca="false">Rate_Card!$I$36*Rate_Card!$K$36*(((1-$A37)/(1-Inputs!$B$6))+Rate_Card!$L$36*(1-((1-$A37)/(1-Inputs!$B$6))))+Rate_Card!$I$37*Rate_Card!$K$37*(((1-$A37)/(1-Inputs!$B$6))+Rate_Card!$L$37*(1-((1-$A37)/(1-Inputs!$B$6))))+Rate_Card!$I$38*Rate_Card!$K$38*(((1-$A37)/(1-Inputs!$B$6))+Rate_Card!$L$38*(1-((1-$A37)/(1-Inputs!$B$6))))+Rate_Card!$I$39*Rate_Card!$K$39*(((1-$A37)/(1-Inputs!$B$6))+Rate_Card!$L$39*(1-((1-$A37)/(1-Inputs!$B$6))))</f>
        <v>0.537477117705215</v>
      </c>
      <c r="D37" s="21" t="n">
        <f aca="false">Rate_Card!$I$36*Rate_Card!$K$36*(1-$A37)+Rate_Card!$I$37*Rate_Card!$K$37*(1-$A37)+Rate_Card!$I$38*Rate_Card!$K$38*(1-$A37)+Rate_Card!$I$39*Rate_Card!$K$39*(1-$A37)</f>
        <v>0.291751080328571</v>
      </c>
      <c r="E37" s="21" t="n">
        <f aca="false">C37-D37</f>
        <v>0.245726037376644</v>
      </c>
      <c r="F37" s="10" t="n">
        <f aca="false">IF(C37=0,0,E37/C37)</f>
        <v>0.457184183813784</v>
      </c>
      <c r="G37" s="10" t="n">
        <f aca="false">MIN(1-(1-$A37)/(((1-$A37)/(1-Inputs!$B$6))+Rate_Card!$L$36*(1-((1-$A37)/(1-Inputs!$B$6)))),1-(1-$A37)/(((1-$A37)/(1-Inputs!$B$6))+Rate_Card!$L$37*(1-((1-$A37)/(1-Inputs!$B$6)))),1-(1-$A37)/(((1-$A37)/(1-Inputs!$B$6))+Rate_Card!$L$38*(1-((1-$A37)/(1-Inputs!$B$6)))),1-(1-$A37)/(((1-$A37)/(1-Inputs!$B$6))+Rate_Card!$L$39*(1-((1-$A37)/(1-Inputs!$B$6)))))</f>
        <v>0.427272727272727</v>
      </c>
      <c r="H37" s="10" t="n">
        <f aca="false">1-D37/(C37*Commit_Annual!$B$27)</f>
        <v>0.395453990816006</v>
      </c>
      <c r="I37" s="16" t="n">
        <f aca="false">Forecast_12M!$N$11*C37/Rate_Card!$B$42</f>
        <v>1413977.19870384</v>
      </c>
      <c r="J37" s="16" t="n">
        <f aca="false">I37-Forecast_12M!$N$5*D37</f>
        <v>628460.219346129</v>
      </c>
      <c r="K37" s="16" t="n">
        <f aca="false">J37-Forecast_12M!$N$15</f>
        <v>-271539.780653871</v>
      </c>
      <c r="L37" s="23" t="n">
        <f aca="false">Inputs!$B$59/(C37*(Forecast_12M!$M$10/Rate_Card!$B$42)-D37)</f>
        <v>339394.292309494</v>
      </c>
      <c r="M37" s="38" t="n">
        <f aca="false">(F37-F36)*100</f>
        <v>3.64185952813551</v>
      </c>
      <c r="N37" s="16" t="n">
        <f aca="false">J37-J36</f>
        <v>28951.0209213475</v>
      </c>
    </row>
    <row r="38" customFormat="false" ht="15" hidden="false" customHeight="false" outlineLevel="0" collapsed="false">
      <c r="A38" s="9" t="n">
        <v>0.6</v>
      </c>
      <c r="B38" s="19" t="str">
        <f aca="false">IF(A38&gt;Inputs!$B$6,"Yes","NO BAND")</f>
        <v>Yes</v>
      </c>
      <c r="C38" s="21" t="n">
        <f aca="false">Rate_Card!$I$36*Rate_Card!$K$36*(((1-$A38)/(1-Inputs!$B$6))+Rate_Card!$L$36*(1-((1-$A38)/(1-Inputs!$B$6))))+Rate_Card!$I$37*Rate_Card!$K$37*(((1-$A38)/(1-Inputs!$B$6))+Rate_Card!$L$37*(1-((1-$A38)/(1-Inputs!$B$6))))+Rate_Card!$I$38*Rate_Card!$K$38*(((1-$A38)/(1-Inputs!$B$6))+Rate_Card!$L$38*(1-((1-$A38)/(1-Inputs!$B$6))))+Rate_Card!$I$39*Rate_Card!$K$39*(((1-$A38)/(1-Inputs!$B$6))+Rate_Card!$L$39*(1-((1-$A38)/(1-Inputs!$B$6))))</f>
        <v>0.51530539443356</v>
      </c>
      <c r="D38" s="21" t="n">
        <f aca="false">Rate_Card!$I$36*Rate_Card!$K$36*(1-$A38)+Rate_Card!$I$37*Rate_Card!$K$37*(1-$A38)+Rate_Card!$I$38*Rate_Card!$K$38*(1-$A38)+Rate_Card!$I$39*Rate_Card!$K$39*(1-$A38)</f>
        <v>0.259334293625397</v>
      </c>
      <c r="E38" s="21" t="n">
        <f aca="false">C38-D38</f>
        <v>0.255971100808163</v>
      </c>
      <c r="F38" s="10" t="n">
        <f aca="false">IF(C38=0,0,E38/C38)</f>
        <v>0.496736699388786</v>
      </c>
      <c r="G38" s="10" t="n">
        <f aca="false">MIN(1-(1-$A38)/(((1-$A38)/(1-Inputs!$B$6))+Rate_Card!$L$36*(1-((1-$A38)/(1-Inputs!$B$6)))),1-(1-$A38)/(((1-$A38)/(1-Inputs!$B$6))+Rate_Card!$L$37*(1-((1-$A38)/(1-Inputs!$B$6)))),1-(1-$A38)/(((1-$A38)/(1-Inputs!$B$6))+Rate_Card!$L$38*(1-((1-$A38)/(1-Inputs!$B$6)))),1-(1-$A38)/(((1-$A38)/(1-Inputs!$B$6))+Rate_Card!$L$39*(1-((1-$A38)/(1-Inputs!$B$6)))))</f>
        <v>0.461538461538462</v>
      </c>
      <c r="H38" s="10" t="n">
        <f aca="false">1-D38/(C38*Commit_Annual!$B$27)</f>
        <v>0.439504504325459</v>
      </c>
      <c r="I38" s="16" t="n">
        <f aca="false">Forecast_12M!$N$11*C38/Rate_Card!$B$42</f>
        <v>1355648.55525211</v>
      </c>
      <c r="J38" s="16" t="n">
        <f aca="false">I38-Forecast_12M!$N$5*D38</f>
        <v>657411.240267477</v>
      </c>
      <c r="K38" s="16" t="n">
        <f aca="false">J38-Forecast_12M!$N$15</f>
        <v>-242588.759732523</v>
      </c>
      <c r="L38" s="23" t="n">
        <f aca="false">Inputs!$B$59/(C38*(Forecast_12M!$M$10/Rate_Card!$B$42)-D38)</f>
        <v>322931.066203675</v>
      </c>
      <c r="M38" s="38" t="n">
        <f aca="false">(F38-F37)*100</f>
        <v>3.95525155750023</v>
      </c>
      <c r="N38" s="16" t="n">
        <f aca="false">J38-J37</f>
        <v>28951.0209213474</v>
      </c>
    </row>
    <row r="39" customFormat="false" ht="15" hidden="false" customHeight="false" outlineLevel="0" collapsed="false">
      <c r="A39" s="9" t="n">
        <v>0.65</v>
      </c>
      <c r="B39" s="19" t="str">
        <f aca="false">IF(A39&gt;Inputs!$B$6,"Yes","NO BAND")</f>
        <v>Yes</v>
      </c>
      <c r="C39" s="21" t="n">
        <f aca="false">Rate_Card!$I$36*Rate_Card!$K$36*(((1-$A39)/(1-Inputs!$B$6))+Rate_Card!$L$36*(1-((1-$A39)/(1-Inputs!$B$6))))+Rate_Card!$I$37*Rate_Card!$K$37*(((1-$A39)/(1-Inputs!$B$6))+Rate_Card!$L$37*(1-((1-$A39)/(1-Inputs!$B$6))))+Rate_Card!$I$38*Rate_Card!$K$38*(((1-$A39)/(1-Inputs!$B$6))+Rate_Card!$L$38*(1-((1-$A39)/(1-Inputs!$B$6))))+Rate_Card!$I$39*Rate_Card!$K$39*(((1-$A39)/(1-Inputs!$B$6))+Rate_Card!$L$39*(1-((1-$A39)/(1-Inputs!$B$6))))</f>
        <v>0.493133671161905</v>
      </c>
      <c r="D39" s="21" t="n">
        <f aca="false">Rate_Card!$I$36*Rate_Card!$K$36*(1-$A39)+Rate_Card!$I$37*Rate_Card!$K$37*(1-$A39)+Rate_Card!$I$38*Rate_Card!$K$38*(1-$A39)+Rate_Card!$I$39*Rate_Card!$K$39*(1-$A39)</f>
        <v>0.226917506922222</v>
      </c>
      <c r="E39" s="21" t="n">
        <f aca="false">C39-D39</f>
        <v>0.266216164239683</v>
      </c>
      <c r="F39" s="10" t="n">
        <f aca="false">IF(C39=0,0,E39/C39)</f>
        <v>0.53984584668987</v>
      </c>
      <c r="G39" s="10" t="n">
        <f aca="false">MIN(1-(1-$A39)/(((1-$A39)/(1-Inputs!$B$6))+Rate_Card!$L$36*(1-((1-$A39)/(1-Inputs!$B$6)))),1-(1-$A39)/(((1-$A39)/(1-Inputs!$B$6))+Rate_Card!$L$37*(1-((1-$A39)/(1-Inputs!$B$6)))),1-(1-$A39)/(((1-$A39)/(1-Inputs!$B$6))+Rate_Card!$L$38*(1-((1-$A39)/(1-Inputs!$B$6)))),1-(1-$A39)/(((1-$A39)/(1-Inputs!$B$6))+Rate_Card!$L$39*(1-((1-$A39)/(1-Inputs!$B$6)))))</f>
        <v>0.5</v>
      </c>
      <c r="H39" s="10" t="n">
        <f aca="false">1-D39/(C39*Commit_Annual!$B$27)</f>
        <v>0.487516117441858</v>
      </c>
      <c r="I39" s="16" t="n">
        <f aca="false">Forecast_12M!$N$11*C39/Rate_Card!$B$42</f>
        <v>1297319.91180038</v>
      </c>
      <c r="J39" s="16" t="n">
        <f aca="false">I39-Forecast_12M!$N$5*D39</f>
        <v>686362.261188824</v>
      </c>
      <c r="K39" s="16" t="n">
        <f aca="false">J39-Forecast_12M!$N$15</f>
        <v>-213637.738811176</v>
      </c>
      <c r="L39" s="23" t="n">
        <f aca="false">Inputs!$B$59/(C39*(Forecast_12M!$M$10/Rate_Card!$B$42)-D39)</f>
        <v>307991.134111809</v>
      </c>
      <c r="M39" s="38" t="n">
        <f aca="false">(F39-F38)*100</f>
        <v>4.31091473010841</v>
      </c>
      <c r="N39" s="16" t="n">
        <f aca="false">J39-J38</f>
        <v>28951.0209213471</v>
      </c>
    </row>
    <row r="42" customFormat="false" ht="15" hidden="false" customHeight="false" outlineLevel="0" collapsed="false">
      <c r="A42" s="3" t="s">
        <v>419</v>
      </c>
    </row>
    <row r="43" customFormat="false" ht="15" hidden="false" customHeight="false" outlineLevel="0" collapsed="false">
      <c r="A43" s="8" t="s">
        <v>420</v>
      </c>
    </row>
    <row r="44" customFormat="false" ht="15" hidden="false" customHeight="false" outlineLevel="0" collapsed="false">
      <c r="A44" s="6" t="s">
        <v>278</v>
      </c>
      <c r="B44" s="45" t="n">
        <v>-0.2</v>
      </c>
      <c r="C44" s="45" t="n">
        <v>-0.1</v>
      </c>
      <c r="D44" s="45" t="n">
        <v>0</v>
      </c>
      <c r="E44" s="45" t="n">
        <v>0.1</v>
      </c>
      <c r="F44" s="45" t="n">
        <v>0.2</v>
      </c>
    </row>
    <row r="45" customFormat="false" ht="15" hidden="false" customHeight="false" outlineLevel="0" collapsed="false">
      <c r="A45" s="9" t="n">
        <v>0.3</v>
      </c>
      <c r="B45" s="10" t="n">
        <f aca="false">1-(Rate_Card!$I$36*Rate_Card!$K$36*(1-$A45)+Rate_Card!$I$37*Rate_Card!$K$37*(1-$A45)+Rate_Card!$I$38*Rate_Card!$K$38*(1-$A45)+Rate_Card!$I$39*Rate_Card!$K$39*(1-$A45))/(Rate_Card!$I$36*Rate_Card!$K$36*(((1-$A45)/(1-Inputs!$B$6))+MIN(1,MAX(0,Rate_Card!$L$36+-0.2))*(1-((1-$A45)/(1-Inputs!$B$6))))+Rate_Card!$I$37*Rate_Card!$K$37*(((1-$A45)/(1-Inputs!$B$6))+MIN(1,MAX(0,Rate_Card!$L$37+-0.2))*(1-((1-$A45)/(1-Inputs!$B$6))))+Rate_Card!$I$38*Rate_Card!$K$38*(((1-$A45)/(1-Inputs!$B$6))+MIN(1,MAX(0,Rate_Card!$L$38+-0.2))*(1-((1-$A45)/(1-Inputs!$B$6))))+Rate_Card!$I$39*Rate_Card!$K$39*(((1-$A45)/(1-Inputs!$B$6))+MIN(1,MAX(0,Rate_Card!$L$39+-0.2))*(1-((1-$A45)/(1-Inputs!$B$6)))))</f>
        <v>0.3</v>
      </c>
      <c r="C45" s="10" t="n">
        <f aca="false">1-(Rate_Card!$I$36*Rate_Card!$K$36*(1-$A45)+Rate_Card!$I$37*Rate_Card!$K$37*(1-$A45)+Rate_Card!$I$38*Rate_Card!$K$38*(1-$A45)+Rate_Card!$I$39*Rate_Card!$K$39*(1-$A45))/(Rate_Card!$I$36*Rate_Card!$K$36*(((1-$A45)/(1-Inputs!$B$6))+MIN(1,MAX(0,Rate_Card!$L$36+-0.1))*(1-((1-$A45)/(1-Inputs!$B$6))))+Rate_Card!$I$37*Rate_Card!$K$37*(((1-$A45)/(1-Inputs!$B$6))+MIN(1,MAX(0,Rate_Card!$L$37+-0.1))*(1-((1-$A45)/(1-Inputs!$B$6))))+Rate_Card!$I$38*Rate_Card!$K$38*(((1-$A45)/(1-Inputs!$B$6))+MIN(1,MAX(0,Rate_Card!$L$38+-0.1))*(1-((1-$A45)/(1-Inputs!$B$6))))+Rate_Card!$I$39*Rate_Card!$K$39*(((1-$A45)/(1-Inputs!$B$6))+MIN(1,MAX(0,Rate_Card!$L$39+-0.1))*(1-((1-$A45)/(1-Inputs!$B$6)))))</f>
        <v>0.3</v>
      </c>
      <c r="D45" s="10" t="n">
        <f aca="false">1-(Rate_Card!$I$36*Rate_Card!$K$36*(1-$A45)+Rate_Card!$I$37*Rate_Card!$K$37*(1-$A45)+Rate_Card!$I$38*Rate_Card!$K$38*(1-$A45)+Rate_Card!$I$39*Rate_Card!$K$39*(1-$A45))/(Rate_Card!$I$36*Rate_Card!$K$36*(((1-$A45)/(1-Inputs!$B$6))+MIN(1,MAX(0,Rate_Card!$L$36+0))*(1-((1-$A45)/(1-Inputs!$B$6))))+Rate_Card!$I$37*Rate_Card!$K$37*(((1-$A45)/(1-Inputs!$B$6))+MIN(1,MAX(0,Rate_Card!$L$37+0))*(1-((1-$A45)/(1-Inputs!$B$6))))+Rate_Card!$I$38*Rate_Card!$K$38*(((1-$A45)/(1-Inputs!$B$6))+MIN(1,MAX(0,Rate_Card!$L$38+0))*(1-((1-$A45)/(1-Inputs!$B$6))))+Rate_Card!$I$39*Rate_Card!$K$39*(((1-$A45)/(1-Inputs!$B$6))+MIN(1,MAX(0,Rate_Card!$L$39+0))*(1-((1-$A45)/(1-Inputs!$B$6)))))</f>
        <v>0.3</v>
      </c>
      <c r="E45" s="10" t="n">
        <f aca="false">1-(Rate_Card!$I$36*Rate_Card!$K$36*(1-$A45)+Rate_Card!$I$37*Rate_Card!$K$37*(1-$A45)+Rate_Card!$I$38*Rate_Card!$K$38*(1-$A45)+Rate_Card!$I$39*Rate_Card!$K$39*(1-$A45))/(Rate_Card!$I$36*Rate_Card!$K$36*(((1-$A45)/(1-Inputs!$B$6))+MIN(1,MAX(0,Rate_Card!$L$36+0.1))*(1-((1-$A45)/(1-Inputs!$B$6))))+Rate_Card!$I$37*Rate_Card!$K$37*(((1-$A45)/(1-Inputs!$B$6))+MIN(1,MAX(0,Rate_Card!$L$37+0.1))*(1-((1-$A45)/(1-Inputs!$B$6))))+Rate_Card!$I$38*Rate_Card!$K$38*(((1-$A45)/(1-Inputs!$B$6))+MIN(1,MAX(0,Rate_Card!$L$38+0.1))*(1-((1-$A45)/(1-Inputs!$B$6))))+Rate_Card!$I$39*Rate_Card!$K$39*(((1-$A45)/(1-Inputs!$B$6))+MIN(1,MAX(0,Rate_Card!$L$39+0.1))*(1-((1-$A45)/(1-Inputs!$B$6)))))</f>
        <v>0.3</v>
      </c>
      <c r="F45" s="10" t="n">
        <f aca="false">1-(Rate_Card!$I$36*Rate_Card!$K$36*(1-$A45)+Rate_Card!$I$37*Rate_Card!$K$37*(1-$A45)+Rate_Card!$I$38*Rate_Card!$K$38*(1-$A45)+Rate_Card!$I$39*Rate_Card!$K$39*(1-$A45))/(Rate_Card!$I$36*Rate_Card!$K$36*(((1-$A45)/(1-Inputs!$B$6))+MIN(1,MAX(0,Rate_Card!$L$36+0.2))*(1-((1-$A45)/(1-Inputs!$B$6))))+Rate_Card!$I$37*Rate_Card!$K$37*(((1-$A45)/(1-Inputs!$B$6))+MIN(1,MAX(0,Rate_Card!$L$37+0.2))*(1-((1-$A45)/(1-Inputs!$B$6))))+Rate_Card!$I$38*Rate_Card!$K$38*(((1-$A45)/(1-Inputs!$B$6))+MIN(1,MAX(0,Rate_Card!$L$38+0.2))*(1-((1-$A45)/(1-Inputs!$B$6))))+Rate_Card!$I$39*Rate_Card!$K$39*(((1-$A45)/(1-Inputs!$B$6))+MIN(1,MAX(0,Rate_Card!$L$39+0.2))*(1-((1-$A45)/(1-Inputs!$B$6)))))</f>
        <v>0.3</v>
      </c>
      <c r="P45" s="8" t="s">
        <v>421</v>
      </c>
    </row>
    <row r="46" customFormat="false" ht="15" hidden="false" customHeight="false" outlineLevel="0" collapsed="false">
      <c r="A46" s="9" t="n">
        <v>0.35</v>
      </c>
      <c r="B46" s="10" t="n">
        <f aca="false">1-(Rate_Card!$I$36*Rate_Card!$K$36*(1-$A46)+Rate_Card!$I$37*Rate_Card!$K$37*(1-$A46)+Rate_Card!$I$38*Rate_Card!$K$38*(1-$A46)+Rate_Card!$I$39*Rate_Card!$K$39*(1-$A46))/(Rate_Card!$I$36*Rate_Card!$K$36*(((1-$A46)/(1-Inputs!$B$6))+MIN(1,MAX(0,Rate_Card!$L$36+-0.2))*(1-((1-$A46)/(1-Inputs!$B$6))))+Rate_Card!$I$37*Rate_Card!$K$37*(((1-$A46)/(1-Inputs!$B$6))+MIN(1,MAX(0,Rate_Card!$L$37+-0.2))*(1-((1-$A46)/(1-Inputs!$B$6))))+Rate_Card!$I$38*Rate_Card!$K$38*(((1-$A46)/(1-Inputs!$B$6))+MIN(1,MAX(0,Rate_Card!$L$38+-0.2))*(1-((1-$A46)/(1-Inputs!$B$6))))+Rate_Card!$I$39*Rate_Card!$K$39*(((1-$A46)/(1-Inputs!$B$6))+MIN(1,MAX(0,Rate_Card!$L$39+-0.2))*(1-((1-$A46)/(1-Inputs!$B$6)))))</f>
        <v>0.316879864000318</v>
      </c>
      <c r="C46" s="10" t="n">
        <f aca="false">1-(Rate_Card!$I$36*Rate_Card!$K$36*(1-$A46)+Rate_Card!$I$37*Rate_Card!$K$37*(1-$A46)+Rate_Card!$I$38*Rate_Card!$K$38*(1-$A46)+Rate_Card!$I$39*Rate_Card!$K$39*(1-$A46))/(Rate_Card!$I$36*Rate_Card!$K$36*(((1-$A46)/(1-Inputs!$B$6))+MIN(1,MAX(0,Rate_Card!$L$36+-0.1))*(1-((1-$A46)/(1-Inputs!$B$6))))+Rate_Card!$I$37*Rate_Card!$K$37*(((1-$A46)/(1-Inputs!$B$6))+MIN(1,MAX(0,Rate_Card!$L$37+-0.1))*(1-((1-$A46)/(1-Inputs!$B$6))))+Rate_Card!$I$38*Rate_Card!$K$38*(((1-$A46)/(1-Inputs!$B$6))+MIN(1,MAX(0,Rate_Card!$L$38+-0.1))*(1-((1-$A46)/(1-Inputs!$B$6))))+Rate_Card!$I$39*Rate_Card!$K$39*(((1-$A46)/(1-Inputs!$B$6))+MIN(1,MAX(0,Rate_Card!$L$39+-0.1))*(1-((1-$A46)/(1-Inputs!$B$6)))))</f>
        <v>0.321969711722735</v>
      </c>
      <c r="D46" s="10" t="n">
        <f aca="false">1-(Rate_Card!$I$36*Rate_Card!$K$36*(1-$A46)+Rate_Card!$I$37*Rate_Card!$K$37*(1-$A46)+Rate_Card!$I$38*Rate_Card!$K$38*(1-$A46)+Rate_Card!$I$39*Rate_Card!$K$39*(1-$A46))/(Rate_Card!$I$36*Rate_Card!$K$36*(((1-$A46)/(1-Inputs!$B$6))+MIN(1,MAX(0,Rate_Card!$L$36+0))*(1-((1-$A46)/(1-Inputs!$B$6))))+Rate_Card!$I$37*Rate_Card!$K$37*(((1-$A46)/(1-Inputs!$B$6))+MIN(1,MAX(0,Rate_Card!$L$37+0))*(1-((1-$A46)/(1-Inputs!$B$6))))+Rate_Card!$I$38*Rate_Card!$K$38*(((1-$A46)/(1-Inputs!$B$6))+MIN(1,MAX(0,Rate_Card!$L$38+0))*(1-((1-$A46)/(1-Inputs!$B$6))))+Rate_Card!$I$39*Rate_Card!$K$39*(((1-$A46)/(1-Inputs!$B$6))+MIN(1,MAX(0,Rate_Card!$L$39+0))*(1-((1-$A46)/(1-Inputs!$B$6)))))</f>
        <v>0.326984272685441</v>
      </c>
      <c r="E46" s="10" t="n">
        <f aca="false">1-(Rate_Card!$I$36*Rate_Card!$K$36*(1-$A46)+Rate_Card!$I$37*Rate_Card!$K$37*(1-$A46)+Rate_Card!$I$38*Rate_Card!$K$38*(1-$A46)+Rate_Card!$I$39*Rate_Card!$K$39*(1-$A46))/(Rate_Card!$I$36*Rate_Card!$K$36*(((1-$A46)/(1-Inputs!$B$6))+MIN(1,MAX(0,Rate_Card!$L$36+0.1))*(1-((1-$A46)/(1-Inputs!$B$6))))+Rate_Card!$I$37*Rate_Card!$K$37*(((1-$A46)/(1-Inputs!$B$6))+MIN(1,MAX(0,Rate_Card!$L$37+0.1))*(1-((1-$A46)/(1-Inputs!$B$6))))+Rate_Card!$I$38*Rate_Card!$K$38*(((1-$A46)/(1-Inputs!$B$6))+MIN(1,MAX(0,Rate_Card!$L$38+0.1))*(1-((1-$A46)/(1-Inputs!$B$6))))+Rate_Card!$I$39*Rate_Card!$K$39*(((1-$A46)/(1-Inputs!$B$6))+MIN(1,MAX(0,Rate_Card!$L$39+0.1))*(1-((1-$A46)/(1-Inputs!$B$6)))))</f>
        <v>0.331925205037443</v>
      </c>
      <c r="F46" s="10" t="n">
        <f aca="false">1-(Rate_Card!$I$36*Rate_Card!$K$36*(1-$A46)+Rate_Card!$I$37*Rate_Card!$K$37*(1-$A46)+Rate_Card!$I$38*Rate_Card!$K$38*(1-$A46)+Rate_Card!$I$39*Rate_Card!$K$39*(1-$A46))/(Rate_Card!$I$36*Rate_Card!$K$36*(((1-$A46)/(1-Inputs!$B$6))+MIN(1,MAX(0,Rate_Card!$L$36+0.2))*(1-((1-$A46)/(1-Inputs!$B$6))))+Rate_Card!$I$37*Rate_Card!$K$37*(((1-$A46)/(1-Inputs!$B$6))+MIN(1,MAX(0,Rate_Card!$L$37+0.2))*(1-((1-$A46)/(1-Inputs!$B$6))))+Rate_Card!$I$38*Rate_Card!$K$38*(((1-$A46)/(1-Inputs!$B$6))+MIN(1,MAX(0,Rate_Card!$L$38+0.2))*(1-((1-$A46)/(1-Inputs!$B$6))))+Rate_Card!$I$39*Rate_Card!$K$39*(((1-$A46)/(1-Inputs!$B$6))+MIN(1,MAX(0,Rate_Card!$L$39+0.2))*(1-((1-$A46)/(1-Inputs!$B$6)))))</f>
        <v>0.336794118589545</v>
      </c>
    </row>
    <row r="47" customFormat="false" ht="15" hidden="false" customHeight="false" outlineLevel="0" collapsed="false">
      <c r="A47" s="9" t="n">
        <v>0.4</v>
      </c>
      <c r="B47" s="10" t="n">
        <f aca="false">1-(Rate_Card!$I$36*Rate_Card!$K$36*(1-$A47)+Rate_Card!$I$37*Rate_Card!$K$37*(1-$A47)+Rate_Card!$I$38*Rate_Card!$K$38*(1-$A47)+Rate_Card!$I$39*Rate_Card!$K$39*(1-$A47))/(Rate_Card!$I$36*Rate_Card!$K$36*(((1-$A47)/(1-Inputs!$B$6))+MIN(1,MAX(0,Rate_Card!$L$36+-0.2))*(1-((1-$A47)/(1-Inputs!$B$6))))+Rate_Card!$I$37*Rate_Card!$K$37*(((1-$A47)/(1-Inputs!$B$6))+MIN(1,MAX(0,Rate_Card!$L$37+-0.2))*(1-((1-$A47)/(1-Inputs!$B$6))))+Rate_Card!$I$38*Rate_Card!$K$38*(((1-$A47)/(1-Inputs!$B$6))+MIN(1,MAX(0,Rate_Card!$L$38+-0.2))*(1-((1-$A47)/(1-Inputs!$B$6))))+Rate_Card!$I$39*Rate_Card!$K$39*(((1-$A47)/(1-Inputs!$B$6))+MIN(1,MAX(0,Rate_Card!$L$39+-0.2))*(1-((1-$A47)/(1-Inputs!$B$6)))))</f>
        <v>0.335572279921918</v>
      </c>
      <c r="C47" s="10" t="n">
        <f aca="false">1-(Rate_Card!$I$36*Rate_Card!$K$36*(1-$A47)+Rate_Card!$I$37*Rate_Card!$K$37*(1-$A47)+Rate_Card!$I$38*Rate_Card!$K$38*(1-$A47)+Rate_Card!$I$39*Rate_Card!$K$39*(1-$A47))/(Rate_Card!$I$36*Rate_Card!$K$36*(((1-$A47)/(1-Inputs!$B$6))+MIN(1,MAX(0,Rate_Card!$L$36+-0.1))*(1-((1-$A47)/(1-Inputs!$B$6))))+Rate_Card!$I$37*Rate_Card!$K$37*(((1-$A47)/(1-Inputs!$B$6))+MIN(1,MAX(0,Rate_Card!$L$37+-0.1))*(1-((1-$A47)/(1-Inputs!$B$6))))+Rate_Card!$I$38*Rate_Card!$K$38*(((1-$A47)/(1-Inputs!$B$6))+MIN(1,MAX(0,Rate_Card!$L$38+-0.1))*(1-((1-$A47)/(1-Inputs!$B$6))))+Rate_Card!$I$39*Rate_Card!$K$39*(((1-$A47)/(1-Inputs!$B$6))+MIN(1,MAX(0,Rate_Card!$L$39+-0.1))*(1-((1-$A47)/(1-Inputs!$B$6)))))</f>
        <v>0.345919639978043</v>
      </c>
      <c r="D47" s="10" t="n">
        <f aca="false">1-(Rate_Card!$I$36*Rate_Card!$K$36*(1-$A47)+Rate_Card!$I$37*Rate_Card!$K$37*(1-$A47)+Rate_Card!$I$38*Rate_Card!$K$38*(1-$A47)+Rate_Card!$I$39*Rate_Card!$K$39*(1-$A47))/(Rate_Card!$I$36*Rate_Card!$K$36*(((1-$A47)/(1-Inputs!$B$6))+MIN(1,MAX(0,Rate_Card!$L$36+0))*(1-((1-$A47)/(1-Inputs!$B$6))))+Rate_Card!$I$37*Rate_Card!$K$37*(((1-$A47)/(1-Inputs!$B$6))+MIN(1,MAX(0,Rate_Card!$L$37+0))*(1-((1-$A47)/(1-Inputs!$B$6))))+Rate_Card!$I$38*Rate_Card!$K$38*(((1-$A47)/(1-Inputs!$B$6))+MIN(1,MAX(0,Rate_Card!$L$38+0))*(1-((1-$A47)/(1-Inputs!$B$6))))+Rate_Card!$I$39*Rate_Card!$K$39*(((1-$A47)/(1-Inputs!$B$6))+MIN(1,MAX(0,Rate_Card!$L$39+0))*(1-((1-$A47)/(1-Inputs!$B$6)))))</f>
        <v>0.355949656186467</v>
      </c>
      <c r="E47" s="10" t="n">
        <f aca="false">1-(Rate_Card!$I$36*Rate_Card!$K$36*(1-$A47)+Rate_Card!$I$37*Rate_Card!$K$37*(1-$A47)+Rate_Card!$I$38*Rate_Card!$K$38*(1-$A47)+Rate_Card!$I$39*Rate_Card!$K$39*(1-$A47))/(Rate_Card!$I$36*Rate_Card!$K$36*(((1-$A47)/(1-Inputs!$B$6))+MIN(1,MAX(0,Rate_Card!$L$36+0.1))*(1-((1-$A47)/(1-Inputs!$B$6))))+Rate_Card!$I$37*Rate_Card!$K$37*(((1-$A47)/(1-Inputs!$B$6))+MIN(1,MAX(0,Rate_Card!$L$37+0.1))*(1-((1-$A47)/(1-Inputs!$B$6))))+Rate_Card!$I$38*Rate_Card!$K$38*(((1-$A47)/(1-Inputs!$B$6))+MIN(1,MAX(0,Rate_Card!$L$38+0.1))*(1-((1-$A47)/(1-Inputs!$B$6))))+Rate_Card!$I$39*Rate_Card!$K$39*(((1-$A47)/(1-Inputs!$B$6))+MIN(1,MAX(0,Rate_Card!$L$39+0.1))*(1-((1-$A47)/(1-Inputs!$B$6)))))</f>
        <v>0.365676707018225</v>
      </c>
      <c r="F47" s="10" t="n">
        <f aca="false">1-(Rate_Card!$I$36*Rate_Card!$K$36*(1-$A47)+Rate_Card!$I$37*Rate_Card!$K$37*(1-$A47)+Rate_Card!$I$38*Rate_Card!$K$38*(1-$A47)+Rate_Card!$I$39*Rate_Card!$K$39*(1-$A47))/(Rate_Card!$I$36*Rate_Card!$K$36*(((1-$A47)/(1-Inputs!$B$6))+MIN(1,MAX(0,Rate_Card!$L$36+0.2))*(1-((1-$A47)/(1-Inputs!$B$6))))+Rate_Card!$I$37*Rate_Card!$K$37*(((1-$A47)/(1-Inputs!$B$6))+MIN(1,MAX(0,Rate_Card!$L$37+0.2))*(1-((1-$A47)/(1-Inputs!$B$6))))+Rate_Card!$I$38*Rate_Card!$K$38*(((1-$A47)/(1-Inputs!$B$6))+MIN(1,MAX(0,Rate_Card!$L$38+0.2))*(1-((1-$A47)/(1-Inputs!$B$6))))+Rate_Card!$I$39*Rate_Card!$K$39*(((1-$A47)/(1-Inputs!$B$6))+MIN(1,MAX(0,Rate_Card!$L$39+0.2))*(1-((1-$A47)/(1-Inputs!$B$6)))))</f>
        <v>0.375114315239521</v>
      </c>
    </row>
    <row r="48" customFormat="false" ht="15" hidden="false" customHeight="false" outlineLevel="0" collapsed="false">
      <c r="A48" s="9" t="n">
        <v>0.45</v>
      </c>
      <c r="B48" s="10" t="n">
        <f aca="false">1-(Rate_Card!$I$36*Rate_Card!$K$36*(1-$A48)+Rate_Card!$I$37*Rate_Card!$K$37*(1-$A48)+Rate_Card!$I$38*Rate_Card!$K$38*(1-$A48)+Rate_Card!$I$39*Rate_Card!$K$39*(1-$A48))/(Rate_Card!$I$36*Rate_Card!$K$36*(((1-$A48)/(1-Inputs!$B$6))+MIN(1,MAX(0,Rate_Card!$L$36+-0.2))*(1-((1-$A48)/(1-Inputs!$B$6))))+Rate_Card!$I$37*Rate_Card!$K$37*(((1-$A48)/(1-Inputs!$B$6))+MIN(1,MAX(0,Rate_Card!$L$37+-0.2))*(1-((1-$A48)/(1-Inputs!$B$6))))+Rate_Card!$I$38*Rate_Card!$K$38*(((1-$A48)/(1-Inputs!$B$6))+MIN(1,MAX(0,Rate_Card!$L$38+-0.2))*(1-((1-$A48)/(1-Inputs!$B$6))))+Rate_Card!$I$39*Rate_Card!$K$39*(((1-$A48)/(1-Inputs!$B$6))+MIN(1,MAX(0,Rate_Card!$L$39+-0.2))*(1-((1-$A48)/(1-Inputs!$B$6)))))</f>
        <v>0.356385758081251</v>
      </c>
      <c r="C48" s="10" t="n">
        <f aca="false">1-(Rate_Card!$I$36*Rate_Card!$K$36*(1-$A48)+Rate_Card!$I$37*Rate_Card!$K$37*(1-$A48)+Rate_Card!$I$38*Rate_Card!$K$38*(1-$A48)+Rate_Card!$I$39*Rate_Card!$K$39*(1-$A48))/(Rate_Card!$I$36*Rate_Card!$K$36*(((1-$A48)/(1-Inputs!$B$6))+MIN(1,MAX(0,Rate_Card!$L$36+-0.1))*(1-((1-$A48)/(1-Inputs!$B$6))))+Rate_Card!$I$37*Rate_Card!$K$37*(((1-$A48)/(1-Inputs!$B$6))+MIN(1,MAX(0,Rate_Card!$L$37+-0.1))*(1-((1-$A48)/(1-Inputs!$B$6))))+Rate_Card!$I$38*Rate_Card!$K$38*(((1-$A48)/(1-Inputs!$B$6))+MIN(1,MAX(0,Rate_Card!$L$38+-0.1))*(1-((1-$A48)/(1-Inputs!$B$6))))+Rate_Card!$I$39*Rate_Card!$K$39*(((1-$A48)/(1-Inputs!$B$6))+MIN(1,MAX(0,Rate_Card!$L$39+-0.1))*(1-((1-$A48)/(1-Inputs!$B$6)))))</f>
        <v>0.372130146894123</v>
      </c>
      <c r="D48" s="10" t="n">
        <f aca="false">1-(Rate_Card!$I$36*Rate_Card!$K$36*(1-$A48)+Rate_Card!$I$37*Rate_Card!$K$37*(1-$A48)+Rate_Card!$I$38*Rate_Card!$K$38*(1-$A48)+Rate_Card!$I$39*Rate_Card!$K$39*(1-$A48))/(Rate_Card!$I$36*Rate_Card!$K$36*(((1-$A48)/(1-Inputs!$B$6))+MIN(1,MAX(0,Rate_Card!$L$36+0))*(1-((1-$A48)/(1-Inputs!$B$6))))+Rate_Card!$I$37*Rate_Card!$K$37*(((1-$A48)/(1-Inputs!$B$6))+MIN(1,MAX(0,Rate_Card!$L$37+0))*(1-((1-$A48)/(1-Inputs!$B$6))))+Rate_Card!$I$38*Rate_Card!$K$38*(((1-$A48)/(1-Inputs!$B$6))+MIN(1,MAX(0,Rate_Card!$L$38+0))*(1-((1-$A48)/(1-Inputs!$B$6))))+Rate_Card!$I$39*Rate_Card!$K$39*(((1-$A48)/(1-Inputs!$B$6))+MIN(1,MAX(0,Rate_Card!$L$39+0))*(1-((1-$A48)/(1-Inputs!$B$6)))))</f>
        <v>0.387122636004656</v>
      </c>
      <c r="E48" s="10" t="n">
        <f aca="false">1-(Rate_Card!$I$36*Rate_Card!$K$36*(1-$A48)+Rate_Card!$I$37*Rate_Card!$K$37*(1-$A48)+Rate_Card!$I$38*Rate_Card!$K$38*(1-$A48)+Rate_Card!$I$39*Rate_Card!$K$39*(1-$A48))/(Rate_Card!$I$36*Rate_Card!$K$36*(((1-$A48)/(1-Inputs!$B$6))+MIN(1,MAX(0,Rate_Card!$L$36+0.1))*(1-((1-$A48)/(1-Inputs!$B$6))))+Rate_Card!$I$37*Rate_Card!$K$37*(((1-$A48)/(1-Inputs!$B$6))+MIN(1,MAX(0,Rate_Card!$L$37+0.1))*(1-((1-$A48)/(1-Inputs!$B$6))))+Rate_Card!$I$38*Rate_Card!$K$38*(((1-$A48)/(1-Inputs!$B$6))+MIN(1,MAX(0,Rate_Card!$L$38+0.1))*(1-((1-$A48)/(1-Inputs!$B$6))))+Rate_Card!$I$39*Rate_Card!$K$39*(((1-$A48)/(1-Inputs!$B$6))+MIN(1,MAX(0,Rate_Card!$L$39+0.1))*(1-((1-$A48)/(1-Inputs!$B$6)))))</f>
        <v>0.40141583161184</v>
      </c>
      <c r="F48" s="10" t="n">
        <f aca="false">1-(Rate_Card!$I$36*Rate_Card!$K$36*(1-$A48)+Rate_Card!$I$37*Rate_Card!$K$37*(1-$A48)+Rate_Card!$I$38*Rate_Card!$K$38*(1-$A48)+Rate_Card!$I$39*Rate_Card!$K$39*(1-$A48))/(Rate_Card!$I$36*Rate_Card!$K$36*(((1-$A48)/(1-Inputs!$B$6))+MIN(1,MAX(0,Rate_Card!$L$36+0.2))*(1-((1-$A48)/(1-Inputs!$B$6))))+Rate_Card!$I$37*Rate_Card!$K$37*(((1-$A48)/(1-Inputs!$B$6))+MIN(1,MAX(0,Rate_Card!$L$37+0.2))*(1-((1-$A48)/(1-Inputs!$B$6))))+Rate_Card!$I$38*Rate_Card!$K$38*(((1-$A48)/(1-Inputs!$B$6))+MIN(1,MAX(0,Rate_Card!$L$38+0.2))*(1-((1-$A48)/(1-Inputs!$B$6))))+Rate_Card!$I$39*Rate_Card!$K$39*(((1-$A48)/(1-Inputs!$B$6))+MIN(1,MAX(0,Rate_Card!$L$39+0.2))*(1-((1-$A48)/(1-Inputs!$B$6)))))</f>
        <v>0.415057544340764</v>
      </c>
    </row>
    <row r="49" customFormat="false" ht="15" hidden="false" customHeight="false" outlineLevel="0" collapsed="false">
      <c r="A49" s="9" t="n">
        <v>0.5</v>
      </c>
      <c r="B49" s="10" t="n">
        <f aca="false">1-(Rate_Card!$I$36*Rate_Card!$K$36*(1-$A49)+Rate_Card!$I$37*Rate_Card!$K$37*(1-$A49)+Rate_Card!$I$38*Rate_Card!$K$38*(1-$A49)+Rate_Card!$I$39*Rate_Card!$K$39*(1-$A49))/(Rate_Card!$I$36*Rate_Card!$K$36*(((1-$A49)/(1-Inputs!$B$6))+MIN(1,MAX(0,Rate_Card!$L$36+-0.2))*(1-((1-$A49)/(1-Inputs!$B$6))))+Rate_Card!$I$37*Rate_Card!$K$37*(((1-$A49)/(1-Inputs!$B$6))+MIN(1,MAX(0,Rate_Card!$L$37+-0.2))*(1-((1-$A49)/(1-Inputs!$B$6))))+Rate_Card!$I$38*Rate_Card!$K$38*(((1-$A49)/(1-Inputs!$B$6))+MIN(1,MAX(0,Rate_Card!$L$38+-0.2))*(1-((1-$A49)/(1-Inputs!$B$6))))+Rate_Card!$I$39*Rate_Card!$K$39*(((1-$A49)/(1-Inputs!$B$6))+MIN(1,MAX(0,Rate_Card!$L$39+-0.2))*(1-((1-$A49)/(1-Inputs!$B$6)))))</f>
        <v>0.379703034504558</v>
      </c>
      <c r="C49" s="10" t="n">
        <f aca="false">1-(Rate_Card!$I$36*Rate_Card!$K$36*(1-$A49)+Rate_Card!$I$37*Rate_Card!$K$37*(1-$A49)+Rate_Card!$I$38*Rate_Card!$K$38*(1-$A49)+Rate_Card!$I$39*Rate_Card!$K$39*(1-$A49))/(Rate_Card!$I$36*Rate_Card!$K$36*(((1-$A49)/(1-Inputs!$B$6))+MIN(1,MAX(0,Rate_Card!$L$36+-0.1))*(1-((1-$A49)/(1-Inputs!$B$6))))+Rate_Card!$I$37*Rate_Card!$K$37*(((1-$A49)/(1-Inputs!$B$6))+MIN(1,MAX(0,Rate_Card!$L$37+-0.1))*(1-((1-$A49)/(1-Inputs!$B$6))))+Rate_Card!$I$38*Rate_Card!$K$38*(((1-$A49)/(1-Inputs!$B$6))+MIN(1,MAX(0,Rate_Card!$L$38+-0.1))*(1-((1-$A49)/(1-Inputs!$B$6))))+Rate_Card!$I$39*Rate_Card!$K$39*(((1-$A49)/(1-Inputs!$B$6))+MIN(1,MAX(0,Rate_Card!$L$39+-0.1))*(1-((1-$A49)/(1-Inputs!$B$6)))))</f>
        <v>0.400937141546817</v>
      </c>
      <c r="D49" s="10" t="n">
        <f aca="false">1-(Rate_Card!$I$36*Rate_Card!$K$36*(1-$A49)+Rate_Card!$I$37*Rate_Card!$K$37*(1-$A49)+Rate_Card!$I$38*Rate_Card!$K$38*(1-$A49)+Rate_Card!$I$39*Rate_Card!$K$39*(1-$A49))/(Rate_Card!$I$36*Rate_Card!$K$36*(((1-$A49)/(1-Inputs!$B$6))+MIN(1,MAX(0,Rate_Card!$L$36+0))*(1-((1-$A49)/(1-Inputs!$B$6))))+Rate_Card!$I$37*Rate_Card!$K$37*(((1-$A49)/(1-Inputs!$B$6))+MIN(1,MAX(0,Rate_Card!$L$37+0))*(1-((1-$A49)/(1-Inputs!$B$6))))+Rate_Card!$I$38*Rate_Card!$K$38*(((1-$A49)/(1-Inputs!$B$6))+MIN(1,MAX(0,Rate_Card!$L$38+0))*(1-((1-$A49)/(1-Inputs!$B$6))))+Rate_Card!$I$39*Rate_Card!$K$39*(((1-$A49)/(1-Inputs!$B$6))+MIN(1,MAX(0,Rate_Card!$L$39+0))*(1-((1-$A49)/(1-Inputs!$B$6)))))</f>
        <v>0.420765588532429</v>
      </c>
      <c r="E49" s="10" t="n">
        <f aca="false">1-(Rate_Card!$I$36*Rate_Card!$K$36*(1-$A49)+Rate_Card!$I$37*Rate_Card!$K$37*(1-$A49)+Rate_Card!$I$38*Rate_Card!$K$38*(1-$A49)+Rate_Card!$I$39*Rate_Card!$K$39*(1-$A49))/(Rate_Card!$I$36*Rate_Card!$K$36*(((1-$A49)/(1-Inputs!$B$6))+MIN(1,MAX(0,Rate_Card!$L$36+0.1))*(1-((1-$A49)/(1-Inputs!$B$6))))+Rate_Card!$I$37*Rate_Card!$K$37*(((1-$A49)/(1-Inputs!$B$6))+MIN(1,MAX(0,Rate_Card!$L$37+0.1))*(1-((1-$A49)/(1-Inputs!$B$6))))+Rate_Card!$I$38*Rate_Card!$K$38*(((1-$A49)/(1-Inputs!$B$6))+MIN(1,MAX(0,Rate_Card!$L$38+0.1))*(1-((1-$A49)/(1-Inputs!$B$6))))+Rate_Card!$I$39*Rate_Card!$K$39*(((1-$A49)/(1-Inputs!$B$6))+MIN(1,MAX(0,Rate_Card!$L$39+0.1))*(1-((1-$A49)/(1-Inputs!$B$6)))))</f>
        <v>0.439323481847611</v>
      </c>
      <c r="F49" s="10" t="n">
        <f aca="false">1-(Rate_Card!$I$36*Rate_Card!$K$36*(1-$A49)+Rate_Card!$I$37*Rate_Card!$K$37*(1-$A49)+Rate_Card!$I$38*Rate_Card!$K$38*(1-$A49)+Rate_Card!$I$39*Rate_Card!$K$39*(1-$A49))/(Rate_Card!$I$36*Rate_Card!$K$36*(((1-$A49)/(1-Inputs!$B$6))+MIN(1,MAX(0,Rate_Card!$L$36+0.2))*(1-((1-$A49)/(1-Inputs!$B$6))))+Rate_Card!$I$37*Rate_Card!$K$37*(((1-$A49)/(1-Inputs!$B$6))+MIN(1,MAX(0,Rate_Card!$L$37+0.2))*(1-((1-$A49)/(1-Inputs!$B$6))))+Rate_Card!$I$38*Rate_Card!$K$38*(((1-$A49)/(1-Inputs!$B$6))+MIN(1,MAX(0,Rate_Card!$L$38+0.2))*(1-((1-$A49)/(1-Inputs!$B$6))))+Rate_Card!$I$39*Rate_Card!$K$39*(((1-$A49)/(1-Inputs!$B$6))+MIN(1,MAX(0,Rate_Card!$L$39+0.2))*(1-((1-$A49)/(1-Inputs!$B$6)))))</f>
        <v>0.456729150881743</v>
      </c>
    </row>
    <row r="50" customFormat="false" ht="15" hidden="false" customHeight="false" outlineLevel="0" collapsed="false">
      <c r="A50" s="9" t="n">
        <v>0.55</v>
      </c>
      <c r="B50" s="10" t="n">
        <f aca="false">1-(Rate_Card!$I$36*Rate_Card!$K$36*(1-$A50)+Rate_Card!$I$37*Rate_Card!$K$37*(1-$A50)+Rate_Card!$I$38*Rate_Card!$K$38*(1-$A50)+Rate_Card!$I$39*Rate_Card!$K$39*(1-$A50))/(Rate_Card!$I$36*Rate_Card!$K$36*(((1-$A50)/(1-Inputs!$B$6))+MIN(1,MAX(0,Rate_Card!$L$36+-0.2))*(1-((1-$A50)/(1-Inputs!$B$6))))+Rate_Card!$I$37*Rate_Card!$K$37*(((1-$A50)/(1-Inputs!$B$6))+MIN(1,MAX(0,Rate_Card!$L$37+-0.2))*(1-((1-$A50)/(1-Inputs!$B$6))))+Rate_Card!$I$38*Rate_Card!$K$38*(((1-$A50)/(1-Inputs!$B$6))+MIN(1,MAX(0,Rate_Card!$L$38+-0.2))*(1-((1-$A50)/(1-Inputs!$B$6))))+Rate_Card!$I$39*Rate_Card!$K$39*(((1-$A50)/(1-Inputs!$B$6))+MIN(1,MAX(0,Rate_Card!$L$39+-0.2))*(1-((1-$A50)/(1-Inputs!$B$6)))))</f>
        <v>0.406004822359567</v>
      </c>
      <c r="C50" s="10" t="n">
        <f aca="false">1-(Rate_Card!$I$36*Rate_Card!$K$36*(1-$A50)+Rate_Card!$I$37*Rate_Card!$K$37*(1-$A50)+Rate_Card!$I$38*Rate_Card!$K$38*(1-$A50)+Rate_Card!$I$39*Rate_Card!$K$39*(1-$A50))/(Rate_Card!$I$36*Rate_Card!$K$36*(((1-$A50)/(1-Inputs!$B$6))+MIN(1,MAX(0,Rate_Card!$L$36+-0.1))*(1-((1-$A50)/(1-Inputs!$B$6))))+Rate_Card!$I$37*Rate_Card!$K$37*(((1-$A50)/(1-Inputs!$B$6))+MIN(1,MAX(0,Rate_Card!$L$37+-0.1))*(1-((1-$A50)/(1-Inputs!$B$6))))+Rate_Card!$I$38*Rate_Card!$K$38*(((1-$A50)/(1-Inputs!$B$6))+MIN(1,MAX(0,Rate_Card!$L$38+-0.1))*(1-((1-$A50)/(1-Inputs!$B$6))))+Rate_Card!$I$39*Rate_Card!$K$39*(((1-$A50)/(1-Inputs!$B$6))+MIN(1,MAX(0,Rate_Card!$L$39+-0.1))*(1-((1-$A50)/(1-Inputs!$B$6)))))</f>
        <v>0.432746553450846</v>
      </c>
      <c r="D50" s="10" t="n">
        <f aca="false">1-(Rate_Card!$I$36*Rate_Card!$K$36*(1-$A50)+Rate_Card!$I$37*Rate_Card!$K$37*(1-$A50)+Rate_Card!$I$38*Rate_Card!$K$38*(1-$A50)+Rate_Card!$I$39*Rate_Card!$K$39*(1-$A50))/(Rate_Card!$I$36*Rate_Card!$K$36*(((1-$A50)/(1-Inputs!$B$6))+MIN(1,MAX(0,Rate_Card!$L$36+0))*(1-((1-$A50)/(1-Inputs!$B$6))))+Rate_Card!$I$37*Rate_Card!$K$37*(((1-$A50)/(1-Inputs!$B$6))+MIN(1,MAX(0,Rate_Card!$L$37+0))*(1-((1-$A50)/(1-Inputs!$B$6))))+Rate_Card!$I$38*Rate_Card!$K$38*(((1-$A50)/(1-Inputs!$B$6))+MIN(1,MAX(0,Rate_Card!$L$38+0))*(1-((1-$A50)/(1-Inputs!$B$6))))+Rate_Card!$I$39*Rate_Card!$K$39*(((1-$A50)/(1-Inputs!$B$6))+MIN(1,MAX(0,Rate_Card!$L$39+0))*(1-((1-$A50)/(1-Inputs!$B$6)))))</f>
        <v>0.457184183813784</v>
      </c>
      <c r="E50" s="10" t="n">
        <f aca="false">1-(Rate_Card!$I$36*Rate_Card!$K$36*(1-$A50)+Rate_Card!$I$37*Rate_Card!$K$37*(1-$A50)+Rate_Card!$I$38*Rate_Card!$K$38*(1-$A50)+Rate_Card!$I$39*Rate_Card!$K$39*(1-$A50))/(Rate_Card!$I$36*Rate_Card!$K$36*(((1-$A50)/(1-Inputs!$B$6))+MIN(1,MAX(0,Rate_Card!$L$36+0.1))*(1-((1-$A50)/(1-Inputs!$B$6))))+Rate_Card!$I$37*Rate_Card!$K$37*(((1-$A50)/(1-Inputs!$B$6))+MIN(1,MAX(0,Rate_Card!$L$37+0.1))*(1-((1-$A50)/(1-Inputs!$B$6))))+Rate_Card!$I$38*Rate_Card!$K$38*(((1-$A50)/(1-Inputs!$B$6))+MIN(1,MAX(0,Rate_Card!$L$38+0.1))*(1-((1-$A50)/(1-Inputs!$B$6))))+Rate_Card!$I$39*Rate_Card!$K$39*(((1-$A50)/(1-Inputs!$B$6))+MIN(1,MAX(0,Rate_Card!$L$39+0.1))*(1-((1-$A50)/(1-Inputs!$B$6)))))</f>
        <v>0.479603200744618</v>
      </c>
      <c r="F50" s="10" t="n">
        <f aca="false">1-(Rate_Card!$I$36*Rate_Card!$K$36*(1-$A50)+Rate_Card!$I$37*Rate_Card!$K$37*(1-$A50)+Rate_Card!$I$38*Rate_Card!$K$38*(1-$A50)+Rate_Card!$I$39*Rate_Card!$K$39*(1-$A50))/(Rate_Card!$I$36*Rate_Card!$K$36*(((1-$A50)/(1-Inputs!$B$6))+MIN(1,MAX(0,Rate_Card!$L$36+0.2))*(1-((1-$A50)/(1-Inputs!$B$6))))+Rate_Card!$I$37*Rate_Card!$K$37*(((1-$A50)/(1-Inputs!$B$6))+MIN(1,MAX(0,Rate_Card!$L$37+0.2))*(1-((1-$A50)/(1-Inputs!$B$6))))+Rate_Card!$I$38*Rate_Card!$K$38*(((1-$A50)/(1-Inputs!$B$6))+MIN(1,MAX(0,Rate_Card!$L$38+0.2))*(1-((1-$A50)/(1-Inputs!$B$6))))+Rate_Card!$I$39*Rate_Card!$K$39*(((1-$A50)/(1-Inputs!$B$6))+MIN(1,MAX(0,Rate_Card!$L$39+0.2))*(1-((1-$A50)/(1-Inputs!$B$6)))))</f>
        <v>0.500243798191382</v>
      </c>
    </row>
    <row r="51" customFormat="false" ht="15" hidden="false" customHeight="false" outlineLevel="0" collapsed="false">
      <c r="A51" s="9" t="n">
        <v>0.6</v>
      </c>
      <c r="B51" s="10" t="n">
        <f aca="false">1-(Rate_Card!$I$36*Rate_Card!$K$36*(1-$A51)+Rate_Card!$I$37*Rate_Card!$K$37*(1-$A51)+Rate_Card!$I$38*Rate_Card!$K$38*(1-$A51)+Rate_Card!$I$39*Rate_Card!$K$39*(1-$A51))/(Rate_Card!$I$36*Rate_Card!$K$36*(((1-$A51)/(1-Inputs!$B$6))+MIN(1,MAX(0,Rate_Card!$L$36+-0.2))*(1-((1-$A51)/(1-Inputs!$B$6))))+Rate_Card!$I$37*Rate_Card!$K$37*(((1-$A51)/(1-Inputs!$B$6))+MIN(1,MAX(0,Rate_Card!$L$37+-0.2))*(1-((1-$A51)/(1-Inputs!$B$6))))+Rate_Card!$I$38*Rate_Card!$K$38*(((1-$A51)/(1-Inputs!$B$6))+MIN(1,MAX(0,Rate_Card!$L$38+-0.2))*(1-((1-$A51)/(1-Inputs!$B$6))))+Rate_Card!$I$39*Rate_Card!$K$39*(((1-$A51)/(1-Inputs!$B$6))+MIN(1,MAX(0,Rate_Card!$L$39+-0.2))*(1-((1-$A51)/(1-Inputs!$B$6)))))</f>
        <v>0.435903307215677</v>
      </c>
      <c r="C51" s="10" t="n">
        <f aca="false">1-(Rate_Card!$I$36*Rate_Card!$K$36*(1-$A51)+Rate_Card!$I$37*Rate_Card!$K$37*(1-$A51)+Rate_Card!$I$38*Rate_Card!$K$38*(1-$A51)+Rate_Card!$I$39*Rate_Card!$K$39*(1-$A51))/(Rate_Card!$I$36*Rate_Card!$K$36*(((1-$A51)/(1-Inputs!$B$6))+MIN(1,MAX(0,Rate_Card!$L$36+-0.1))*(1-((1-$A51)/(1-Inputs!$B$6))))+Rate_Card!$I$37*Rate_Card!$K$37*(((1-$A51)/(1-Inputs!$B$6))+MIN(1,MAX(0,Rate_Card!$L$37+-0.1))*(1-((1-$A51)/(1-Inputs!$B$6))))+Rate_Card!$I$38*Rate_Card!$K$38*(((1-$A51)/(1-Inputs!$B$6))+MIN(1,MAX(0,Rate_Card!$L$38+-0.1))*(1-((1-$A51)/(1-Inputs!$B$6))))+Rate_Card!$I$39*Rate_Card!$K$39*(((1-$A51)/(1-Inputs!$B$6))+MIN(1,MAX(0,Rate_Card!$L$39+-0.1))*(1-((1-$A51)/(1-Inputs!$B$6)))))</f>
        <v>0.468053580364416</v>
      </c>
      <c r="D51" s="10" t="n">
        <f aca="false">1-(Rate_Card!$I$36*Rate_Card!$K$36*(1-$A51)+Rate_Card!$I$37*Rate_Card!$K$37*(1-$A51)+Rate_Card!$I$38*Rate_Card!$K$38*(1-$A51)+Rate_Card!$I$39*Rate_Card!$K$39*(1-$A51))/(Rate_Card!$I$36*Rate_Card!$K$36*(((1-$A51)/(1-Inputs!$B$6))+MIN(1,MAX(0,Rate_Card!$L$36+0))*(1-((1-$A51)/(1-Inputs!$B$6))))+Rate_Card!$I$37*Rate_Card!$K$37*(((1-$A51)/(1-Inputs!$B$6))+MIN(1,MAX(0,Rate_Card!$L$37+0))*(1-((1-$A51)/(1-Inputs!$B$6))))+Rate_Card!$I$38*Rate_Card!$K$38*(((1-$A51)/(1-Inputs!$B$6))+MIN(1,MAX(0,Rate_Card!$L$38+0))*(1-((1-$A51)/(1-Inputs!$B$6))))+Rate_Card!$I$39*Rate_Card!$K$39*(((1-$A51)/(1-Inputs!$B$6))+MIN(1,MAX(0,Rate_Card!$L$39+0))*(1-((1-$A51)/(1-Inputs!$B$6)))))</f>
        <v>0.496736699388786</v>
      </c>
      <c r="E51" s="10" t="n">
        <f aca="false">1-(Rate_Card!$I$36*Rate_Card!$K$36*(1-$A51)+Rate_Card!$I$37*Rate_Card!$K$37*(1-$A51)+Rate_Card!$I$38*Rate_Card!$K$38*(1-$A51)+Rate_Card!$I$39*Rate_Card!$K$39*(1-$A51))/(Rate_Card!$I$36*Rate_Card!$K$36*(((1-$A51)/(1-Inputs!$B$6))+MIN(1,MAX(0,Rate_Card!$L$36+0.1))*(1-((1-$A51)/(1-Inputs!$B$6))))+Rate_Card!$I$37*Rate_Card!$K$37*(((1-$A51)/(1-Inputs!$B$6))+MIN(1,MAX(0,Rate_Card!$L$37+0.1))*(1-((1-$A51)/(1-Inputs!$B$6))))+Rate_Card!$I$38*Rate_Card!$K$38*(((1-$A51)/(1-Inputs!$B$6))+MIN(1,MAX(0,Rate_Card!$L$38+0.1))*(1-((1-$A51)/(1-Inputs!$B$6))))+Rate_Card!$I$39*Rate_Card!$K$39*(((1-$A51)/(1-Inputs!$B$6))+MIN(1,MAX(0,Rate_Card!$L$39+0.1))*(1-((1-$A51)/(1-Inputs!$B$6)))))</f>
        <v>0.522484827442354</v>
      </c>
      <c r="F51" s="10" t="n">
        <f aca="false">1-(Rate_Card!$I$36*Rate_Card!$K$36*(1-$A51)+Rate_Card!$I$37*Rate_Card!$K$37*(1-$A51)+Rate_Card!$I$38*Rate_Card!$K$38*(1-$A51)+Rate_Card!$I$39*Rate_Card!$K$39*(1-$A51))/(Rate_Card!$I$36*Rate_Card!$K$36*(((1-$A51)/(1-Inputs!$B$6))+MIN(1,MAX(0,Rate_Card!$L$36+0.2))*(1-((1-$A51)/(1-Inputs!$B$6))))+Rate_Card!$I$37*Rate_Card!$K$37*(((1-$A51)/(1-Inputs!$B$6))+MIN(1,MAX(0,Rate_Card!$L$37+0.2))*(1-((1-$A51)/(1-Inputs!$B$6))))+Rate_Card!$I$38*Rate_Card!$K$38*(((1-$A51)/(1-Inputs!$B$6))+MIN(1,MAX(0,Rate_Card!$L$38+0.2))*(1-((1-$A51)/(1-Inputs!$B$6))))+Rate_Card!$I$39*Rate_Card!$K$39*(((1-$A51)/(1-Inputs!$B$6))+MIN(1,MAX(0,Rate_Card!$L$39+0.2))*(1-((1-$A51)/(1-Inputs!$B$6)))))</f>
        <v>0.545726521561455</v>
      </c>
    </row>
    <row r="54" customFormat="false" ht="15" hidden="false" customHeight="false" outlineLevel="0" collapsed="false">
      <c r="A54" s="3" t="s">
        <v>422</v>
      </c>
    </row>
    <row r="55" customFormat="false" ht="15" hidden="false" customHeight="false" outlineLevel="0" collapsed="false">
      <c r="A55" s="8" t="s">
        <v>423</v>
      </c>
    </row>
    <row r="56" customFormat="false" ht="15" hidden="false" customHeight="false" outlineLevel="0" collapsed="false">
      <c r="A56" s="6" t="s">
        <v>278</v>
      </c>
      <c r="B56" s="46" t="n">
        <v>0.2</v>
      </c>
      <c r="C56" s="46" t="n">
        <v>0.35</v>
      </c>
      <c r="D56" s="46" t="n">
        <v>0.45</v>
      </c>
      <c r="E56" s="46" t="n">
        <v>0.6</v>
      </c>
      <c r="F56" s="46" t="n">
        <v>0.75</v>
      </c>
    </row>
    <row r="57" customFormat="false" ht="15" hidden="false" customHeight="false" outlineLevel="0" collapsed="false">
      <c r="A57" s="9" t="n">
        <v>0.35</v>
      </c>
      <c r="B57" s="10" t="n">
        <f aca="false">1-(Rate_Card!$I$36*Rate_Card!$K$36*(1-$A57)+Rate_Card!$I$37*Rate_Card!$K$37*(1-$A57)+Rate_Card!$I$38*Rate_Card!$K$38*(1-$A57)+Rate_Card!$I$39*Rate_Card!$K$39*(1-$A57))/((Rate_Card!$I$36*Rate_Card!$K$36*(((1-$A57)/(1-Inputs!$B$6))+Rate_Card!$L$36*(1-((1-$A57)/(1-Inputs!$B$6))))+Rate_Card!$I$37*Rate_Card!$K$37*(((1-$A57)/(1-Inputs!$B$6))+Rate_Card!$L$37*(1-((1-$A57)/(1-Inputs!$B$6))))+Rate_Card!$I$38*Rate_Card!$K$38*(((1-$A57)/(1-Inputs!$B$6))+Rate_Card!$L$38*(1-((1-$A57)/(1-Inputs!$B$6))))+Rate_Card!$I$39*Rate_Card!$K$39*(((1-$A57)/(1-Inputs!$B$6))+Rate_Card!$L$39*(1-((1-$A57)/(1-Inputs!$B$6)))))*((1-0.2-Inputs!$B$44)*Plan_Economics!$C$27+Inputs!$B$44*Plan_Economics!$D$27+0.2*Plan_Economics!$E$27))</f>
        <v>0.312891653004223</v>
      </c>
      <c r="C57" s="10" t="n">
        <f aca="false">1-(Rate_Card!$I$36*Rate_Card!$K$36*(1-$A57)+Rate_Card!$I$37*Rate_Card!$K$37*(1-$A57)+Rate_Card!$I$38*Rate_Card!$K$38*(1-$A57)+Rate_Card!$I$39*Rate_Card!$K$39*(1-$A57))/((Rate_Card!$I$36*Rate_Card!$K$36*(((1-$A57)/(1-Inputs!$B$6))+Rate_Card!$L$36*(1-((1-$A57)/(1-Inputs!$B$6))))+Rate_Card!$I$37*Rate_Card!$K$37*(((1-$A57)/(1-Inputs!$B$6))+Rate_Card!$L$37*(1-((1-$A57)/(1-Inputs!$B$6))))+Rate_Card!$I$38*Rate_Card!$K$38*(((1-$A57)/(1-Inputs!$B$6))+Rate_Card!$L$38*(1-((1-$A57)/(1-Inputs!$B$6))))+Rate_Card!$I$39*Rate_Card!$K$39*(((1-$A57)/(1-Inputs!$B$6))+Rate_Card!$L$39*(1-((1-$A57)/(1-Inputs!$B$6)))))*((1-0.35-Inputs!$B$44)*Plan_Economics!$C$27+Inputs!$B$44*Plan_Economics!$D$27+0.35*Plan_Economics!$E$27))</f>
        <v>0.301976506058817</v>
      </c>
      <c r="D57" s="10" t="n">
        <f aca="false">1-(Rate_Card!$I$36*Rate_Card!$K$36*(1-$A57)+Rate_Card!$I$37*Rate_Card!$K$37*(1-$A57)+Rate_Card!$I$38*Rate_Card!$K$38*(1-$A57)+Rate_Card!$I$39*Rate_Card!$K$39*(1-$A57))/((Rate_Card!$I$36*Rate_Card!$K$36*(((1-$A57)/(1-Inputs!$B$6))+Rate_Card!$L$36*(1-((1-$A57)/(1-Inputs!$B$6))))+Rate_Card!$I$37*Rate_Card!$K$37*(((1-$A57)/(1-Inputs!$B$6))+Rate_Card!$L$37*(1-((1-$A57)/(1-Inputs!$B$6))))+Rate_Card!$I$38*Rate_Card!$K$38*(((1-$A57)/(1-Inputs!$B$6))+Rate_Card!$L$38*(1-((1-$A57)/(1-Inputs!$B$6))))+Rate_Card!$I$39*Rate_Card!$K$39*(((1-$A57)/(1-Inputs!$B$6))+Rate_Card!$L$39*(1-((1-$A57)/(1-Inputs!$B$6)))))*((1-0.45-Inputs!$B$44)*Plan_Economics!$C$27+Inputs!$B$44*Plan_Economics!$D$27+0.45*Plan_Economics!$E$27))</f>
        <v>0.294505019291263</v>
      </c>
      <c r="E57" s="10" t="n">
        <f aca="false">1-(Rate_Card!$I$36*Rate_Card!$K$36*(1-$A57)+Rate_Card!$I$37*Rate_Card!$K$37*(1-$A57)+Rate_Card!$I$38*Rate_Card!$K$38*(1-$A57)+Rate_Card!$I$39*Rate_Card!$K$39*(1-$A57))/((Rate_Card!$I$36*Rate_Card!$K$36*(((1-$A57)/(1-Inputs!$B$6))+Rate_Card!$L$36*(1-((1-$A57)/(1-Inputs!$B$6))))+Rate_Card!$I$37*Rate_Card!$K$37*(((1-$A57)/(1-Inputs!$B$6))+Rate_Card!$L$37*(1-((1-$A57)/(1-Inputs!$B$6))))+Rate_Card!$I$38*Rate_Card!$K$38*(((1-$A57)/(1-Inputs!$B$6))+Rate_Card!$L$38*(1-((1-$A57)/(1-Inputs!$B$6))))+Rate_Card!$I$39*Rate_Card!$K$39*(((1-$A57)/(1-Inputs!$B$6))+Rate_Card!$L$39*(1-((1-$A57)/(1-Inputs!$B$6)))))*((1-0.6-Inputs!$B$44)*Plan_Economics!$C$27+Inputs!$B$44*Plan_Economics!$D$27+0.6*Plan_Economics!$E$27))</f>
        <v>0.28299299630016</v>
      </c>
      <c r="F57" s="10" t="n">
        <f aca="false">1-(Rate_Card!$I$36*Rate_Card!$K$36*(1-$A57)+Rate_Card!$I$37*Rate_Card!$K$37*(1-$A57)+Rate_Card!$I$38*Rate_Card!$K$38*(1-$A57)+Rate_Card!$I$39*Rate_Card!$K$39*(1-$A57))/((Rate_Card!$I$36*Rate_Card!$K$36*(((1-$A57)/(1-Inputs!$B$6))+Rate_Card!$L$36*(1-((1-$A57)/(1-Inputs!$B$6))))+Rate_Card!$I$37*Rate_Card!$K$37*(((1-$A57)/(1-Inputs!$B$6))+Rate_Card!$L$37*(1-((1-$A57)/(1-Inputs!$B$6))))+Rate_Card!$I$38*Rate_Card!$K$38*(((1-$A57)/(1-Inputs!$B$6))+Rate_Card!$L$38*(1-((1-$A57)/(1-Inputs!$B$6))))+Rate_Card!$I$39*Rate_Card!$K$39*(((1-$A57)/(1-Inputs!$B$6))+Rate_Card!$L$39*(1-((1-$A57)/(1-Inputs!$B$6)))))*((1-0.75-Inputs!$B$44)*Plan_Economics!$C$27+Inputs!$B$44*Plan_Economics!$D$27+0.75*Plan_Economics!$E$27))</f>
        <v>0.271099042681299</v>
      </c>
      <c r="P57" s="8" t="s">
        <v>424</v>
      </c>
    </row>
    <row r="58" customFormat="false" ht="15" hidden="false" customHeight="false" outlineLevel="0" collapsed="false">
      <c r="A58" s="9" t="n">
        <v>0.4</v>
      </c>
      <c r="B58" s="10" t="n">
        <f aca="false">1-(Rate_Card!$I$36*Rate_Card!$K$36*(1-$A58)+Rate_Card!$I$37*Rate_Card!$K$37*(1-$A58)+Rate_Card!$I$38*Rate_Card!$K$38*(1-$A58)+Rate_Card!$I$39*Rate_Card!$K$39*(1-$A58))/((Rate_Card!$I$36*Rate_Card!$K$36*(((1-$A58)/(1-Inputs!$B$6))+Rate_Card!$L$36*(1-((1-$A58)/(1-Inputs!$B$6))))+Rate_Card!$I$37*Rate_Card!$K$37*(((1-$A58)/(1-Inputs!$B$6))+Rate_Card!$L$37*(1-((1-$A58)/(1-Inputs!$B$6))))+Rate_Card!$I$38*Rate_Card!$K$38*(((1-$A58)/(1-Inputs!$B$6))+Rate_Card!$L$38*(1-((1-$A58)/(1-Inputs!$B$6))))+Rate_Card!$I$39*Rate_Card!$K$39*(((1-$A58)/(1-Inputs!$B$6))+Rate_Card!$L$39*(1-((1-$A58)/(1-Inputs!$B$6)))))*((1-0.2-Inputs!$B$44)*Plan_Economics!$C$27+Inputs!$B$44*Plan_Economics!$D$27+0.2*Plan_Economics!$E$27))</f>
        <v>0.342463557448273</v>
      </c>
      <c r="C58" s="10" t="n">
        <f aca="false">1-(Rate_Card!$I$36*Rate_Card!$K$36*(1-$A58)+Rate_Card!$I$37*Rate_Card!$K$37*(1-$A58)+Rate_Card!$I$38*Rate_Card!$K$38*(1-$A58)+Rate_Card!$I$39*Rate_Card!$K$39*(1-$A58))/((Rate_Card!$I$36*Rate_Card!$K$36*(((1-$A58)/(1-Inputs!$B$6))+Rate_Card!$L$36*(1-((1-$A58)/(1-Inputs!$B$6))))+Rate_Card!$I$37*Rate_Card!$K$37*(((1-$A58)/(1-Inputs!$B$6))+Rate_Card!$L$37*(1-((1-$A58)/(1-Inputs!$B$6))))+Rate_Card!$I$38*Rate_Card!$K$38*(((1-$A58)/(1-Inputs!$B$6))+Rate_Card!$L$38*(1-((1-$A58)/(1-Inputs!$B$6))))+Rate_Card!$I$39*Rate_Card!$K$39*(((1-$A58)/(1-Inputs!$B$6))+Rate_Card!$L$39*(1-((1-$A58)/(1-Inputs!$B$6)))))*((1-0.35-Inputs!$B$44)*Plan_Economics!$C$27+Inputs!$B$44*Plan_Economics!$D$27+0.35*Plan_Economics!$E$27))</f>
        <v>0.332018178748113</v>
      </c>
      <c r="D58" s="10" t="n">
        <f aca="false">1-(Rate_Card!$I$36*Rate_Card!$K$36*(1-$A58)+Rate_Card!$I$37*Rate_Card!$K$37*(1-$A58)+Rate_Card!$I$38*Rate_Card!$K$38*(1-$A58)+Rate_Card!$I$39*Rate_Card!$K$39*(1-$A58))/((Rate_Card!$I$36*Rate_Card!$K$36*(((1-$A58)/(1-Inputs!$B$6))+Rate_Card!$L$36*(1-((1-$A58)/(1-Inputs!$B$6))))+Rate_Card!$I$37*Rate_Card!$K$37*(((1-$A58)/(1-Inputs!$B$6))+Rate_Card!$L$37*(1-((1-$A58)/(1-Inputs!$B$6))))+Rate_Card!$I$38*Rate_Card!$K$38*(((1-$A58)/(1-Inputs!$B$6))+Rate_Card!$L$38*(1-((1-$A58)/(1-Inputs!$B$6))))+Rate_Card!$I$39*Rate_Card!$K$39*(((1-$A58)/(1-Inputs!$B$6))+Rate_Card!$L$39*(1-((1-$A58)/(1-Inputs!$B$6)))))*((1-0.45-Inputs!$B$44)*Plan_Economics!$C$27+Inputs!$B$44*Plan_Economics!$D$27+0.45*Plan_Economics!$E$27))</f>
        <v>0.324868251300441</v>
      </c>
      <c r="E58" s="10" t="n">
        <f aca="false">1-(Rate_Card!$I$36*Rate_Card!$K$36*(1-$A58)+Rate_Card!$I$37*Rate_Card!$K$37*(1-$A58)+Rate_Card!$I$38*Rate_Card!$K$38*(1-$A58)+Rate_Card!$I$39*Rate_Card!$K$39*(1-$A58))/((Rate_Card!$I$36*Rate_Card!$K$36*(((1-$A58)/(1-Inputs!$B$6))+Rate_Card!$L$36*(1-((1-$A58)/(1-Inputs!$B$6))))+Rate_Card!$I$37*Rate_Card!$K$37*(((1-$A58)/(1-Inputs!$B$6))+Rate_Card!$L$37*(1-((1-$A58)/(1-Inputs!$B$6))))+Rate_Card!$I$38*Rate_Card!$K$38*(((1-$A58)/(1-Inputs!$B$6))+Rate_Card!$L$38*(1-((1-$A58)/(1-Inputs!$B$6))))+Rate_Card!$I$39*Rate_Card!$K$39*(((1-$A58)/(1-Inputs!$B$6))+Rate_Card!$L$39*(1-((1-$A58)/(1-Inputs!$B$6)))))*((1-0.6-Inputs!$B$44)*Plan_Economics!$C$27+Inputs!$B$44*Plan_Economics!$D$27+0.6*Plan_Economics!$E$27))</f>
        <v>0.313851685023464</v>
      </c>
      <c r="F58" s="10" t="n">
        <f aca="false">1-(Rate_Card!$I$36*Rate_Card!$K$36*(1-$A58)+Rate_Card!$I$37*Rate_Card!$K$37*(1-$A58)+Rate_Card!$I$38*Rate_Card!$K$38*(1-$A58)+Rate_Card!$I$39*Rate_Card!$K$39*(1-$A58))/((Rate_Card!$I$36*Rate_Card!$K$36*(((1-$A58)/(1-Inputs!$B$6))+Rate_Card!$L$36*(1-((1-$A58)/(1-Inputs!$B$6))))+Rate_Card!$I$37*Rate_Card!$K$37*(((1-$A58)/(1-Inputs!$B$6))+Rate_Card!$L$37*(1-((1-$A58)/(1-Inputs!$B$6))))+Rate_Card!$I$38*Rate_Card!$K$38*(((1-$A58)/(1-Inputs!$B$6))+Rate_Card!$L$38*(1-((1-$A58)/(1-Inputs!$B$6))))+Rate_Card!$I$39*Rate_Card!$K$39*(((1-$A58)/(1-Inputs!$B$6))+Rate_Card!$L$39*(1-((1-$A58)/(1-Inputs!$B$6)))))*((1-0.75-Inputs!$B$44)*Plan_Economics!$C$27+Inputs!$B$44*Plan_Economics!$D$27+0.75*Plan_Economics!$E$27))</f>
        <v>0.302469625724351</v>
      </c>
    </row>
    <row r="59" customFormat="false" ht="15" hidden="false" customHeight="false" outlineLevel="0" collapsed="false">
      <c r="A59" s="9" t="n">
        <v>0.45</v>
      </c>
      <c r="B59" s="10" t="n">
        <f aca="false">1-(Rate_Card!$I$36*Rate_Card!$K$36*(1-$A59)+Rate_Card!$I$37*Rate_Card!$K$37*(1-$A59)+Rate_Card!$I$38*Rate_Card!$K$38*(1-$A59)+Rate_Card!$I$39*Rate_Card!$K$39*(1-$A59))/((Rate_Card!$I$36*Rate_Card!$K$36*(((1-$A59)/(1-Inputs!$B$6))+Rate_Card!$L$36*(1-((1-$A59)/(1-Inputs!$B$6))))+Rate_Card!$I$37*Rate_Card!$K$37*(((1-$A59)/(1-Inputs!$B$6))+Rate_Card!$L$37*(1-((1-$A59)/(1-Inputs!$B$6))))+Rate_Card!$I$38*Rate_Card!$K$38*(((1-$A59)/(1-Inputs!$B$6))+Rate_Card!$L$38*(1-((1-$A59)/(1-Inputs!$B$6))))+Rate_Card!$I$39*Rate_Card!$K$39*(((1-$A59)/(1-Inputs!$B$6))+Rate_Card!$L$39*(1-((1-$A59)/(1-Inputs!$B$6)))))*((1-0.2-Inputs!$B$44)*Plan_Economics!$C$27+Inputs!$B$44*Plan_Economics!$D$27+0.2*Plan_Economics!$E$27))</f>
        <v>0.374289284195068</v>
      </c>
      <c r="C59" s="10" t="n">
        <f aca="false">1-(Rate_Card!$I$36*Rate_Card!$K$36*(1-$A59)+Rate_Card!$I$37*Rate_Card!$K$37*(1-$A59)+Rate_Card!$I$38*Rate_Card!$K$38*(1-$A59)+Rate_Card!$I$39*Rate_Card!$K$39*(1-$A59))/((Rate_Card!$I$36*Rate_Card!$K$36*(((1-$A59)/(1-Inputs!$B$6))+Rate_Card!$L$36*(1-((1-$A59)/(1-Inputs!$B$6))))+Rate_Card!$I$37*Rate_Card!$K$37*(((1-$A59)/(1-Inputs!$B$6))+Rate_Card!$L$37*(1-((1-$A59)/(1-Inputs!$B$6))))+Rate_Card!$I$38*Rate_Card!$K$38*(((1-$A59)/(1-Inputs!$B$6))+Rate_Card!$L$38*(1-((1-$A59)/(1-Inputs!$B$6))))+Rate_Card!$I$39*Rate_Card!$K$39*(((1-$A59)/(1-Inputs!$B$6))+Rate_Card!$L$39*(1-((1-$A59)/(1-Inputs!$B$6)))))*((1-0.35-Inputs!$B$44)*Plan_Economics!$C$27+Inputs!$B$44*Plan_Economics!$D$27+0.35*Plan_Economics!$E$27))</f>
        <v>0.364349477120699</v>
      </c>
      <c r="D59" s="10" t="n">
        <f aca="false">1-(Rate_Card!$I$36*Rate_Card!$K$36*(1-$A59)+Rate_Card!$I$37*Rate_Card!$K$37*(1-$A59)+Rate_Card!$I$38*Rate_Card!$K$38*(1-$A59)+Rate_Card!$I$39*Rate_Card!$K$39*(1-$A59))/((Rate_Card!$I$36*Rate_Card!$K$36*(((1-$A59)/(1-Inputs!$B$6))+Rate_Card!$L$36*(1-((1-$A59)/(1-Inputs!$B$6))))+Rate_Card!$I$37*Rate_Card!$K$37*(((1-$A59)/(1-Inputs!$B$6))+Rate_Card!$L$37*(1-((1-$A59)/(1-Inputs!$B$6))))+Rate_Card!$I$38*Rate_Card!$K$38*(((1-$A59)/(1-Inputs!$B$6))+Rate_Card!$L$38*(1-((1-$A59)/(1-Inputs!$B$6))))+Rate_Card!$I$39*Rate_Card!$K$39*(((1-$A59)/(1-Inputs!$B$6))+Rate_Card!$L$39*(1-((1-$A59)/(1-Inputs!$B$6)))))*((1-0.45-Inputs!$B$44)*Plan_Economics!$C$27+Inputs!$B$44*Plan_Economics!$D$27+0.45*Plan_Economics!$E$27))</f>
        <v>0.357545616632184</v>
      </c>
      <c r="E59" s="10" t="n">
        <f aca="false">1-(Rate_Card!$I$36*Rate_Card!$K$36*(1-$A59)+Rate_Card!$I$37*Rate_Card!$K$37*(1-$A59)+Rate_Card!$I$38*Rate_Card!$K$38*(1-$A59)+Rate_Card!$I$39*Rate_Card!$K$39*(1-$A59))/((Rate_Card!$I$36*Rate_Card!$K$36*(((1-$A59)/(1-Inputs!$B$6))+Rate_Card!$L$36*(1-((1-$A59)/(1-Inputs!$B$6))))+Rate_Card!$I$37*Rate_Card!$K$37*(((1-$A59)/(1-Inputs!$B$6))+Rate_Card!$L$37*(1-((1-$A59)/(1-Inputs!$B$6))))+Rate_Card!$I$38*Rate_Card!$K$38*(((1-$A59)/(1-Inputs!$B$6))+Rate_Card!$L$38*(1-((1-$A59)/(1-Inputs!$B$6))))+Rate_Card!$I$39*Rate_Card!$K$39*(((1-$A59)/(1-Inputs!$B$6))+Rate_Card!$L$39*(1-((1-$A59)/(1-Inputs!$B$6)))))*((1-0.6-Inputs!$B$44)*Plan_Economics!$C$27+Inputs!$B$44*Plan_Economics!$D$27+0.6*Plan_Economics!$E$27))</f>
        <v>0.347062268296191</v>
      </c>
      <c r="F59" s="10" t="n">
        <f aca="false">1-(Rate_Card!$I$36*Rate_Card!$K$36*(1-$A59)+Rate_Card!$I$37*Rate_Card!$K$37*(1-$A59)+Rate_Card!$I$38*Rate_Card!$K$38*(1-$A59)+Rate_Card!$I$39*Rate_Card!$K$39*(1-$A59))/((Rate_Card!$I$36*Rate_Card!$K$36*(((1-$A59)/(1-Inputs!$B$6))+Rate_Card!$L$36*(1-((1-$A59)/(1-Inputs!$B$6))))+Rate_Card!$I$37*Rate_Card!$K$37*(((1-$A59)/(1-Inputs!$B$6))+Rate_Card!$L$37*(1-((1-$A59)/(1-Inputs!$B$6))))+Rate_Card!$I$38*Rate_Card!$K$38*(((1-$A59)/(1-Inputs!$B$6))+Rate_Card!$L$38*(1-((1-$A59)/(1-Inputs!$B$6))))+Rate_Card!$I$39*Rate_Card!$K$39*(((1-$A59)/(1-Inputs!$B$6))+Rate_Card!$L$39*(1-((1-$A59)/(1-Inputs!$B$6)))))*((1-0.75-Inputs!$B$44)*Plan_Economics!$C$27+Inputs!$B$44*Plan_Economics!$D$27+0.75*Plan_Economics!$E$27))</f>
        <v>0.336231117335578</v>
      </c>
    </row>
    <row r="60" customFormat="false" ht="15" hidden="false" customHeight="false" outlineLevel="0" collapsed="false">
      <c r="A60" s="9" t="n">
        <v>0.5</v>
      </c>
      <c r="B60" s="10" t="n">
        <f aca="false">1-(Rate_Card!$I$36*Rate_Card!$K$36*(1-$A60)+Rate_Card!$I$37*Rate_Card!$K$37*(1-$A60)+Rate_Card!$I$38*Rate_Card!$K$38*(1-$A60)+Rate_Card!$I$39*Rate_Card!$K$39*(1-$A60))/((Rate_Card!$I$36*Rate_Card!$K$36*(((1-$A60)/(1-Inputs!$B$6))+Rate_Card!$L$36*(1-((1-$A60)/(1-Inputs!$B$6))))+Rate_Card!$I$37*Rate_Card!$K$37*(((1-$A60)/(1-Inputs!$B$6))+Rate_Card!$L$37*(1-((1-$A60)/(1-Inputs!$B$6))))+Rate_Card!$I$38*Rate_Card!$K$38*(((1-$A60)/(1-Inputs!$B$6))+Rate_Card!$L$38*(1-((1-$A60)/(1-Inputs!$B$6))))+Rate_Card!$I$39*Rate_Card!$K$39*(((1-$A60)/(1-Inputs!$B$6))+Rate_Card!$L$39*(1-((1-$A60)/(1-Inputs!$B$6)))))*((1-0.2-Inputs!$B$44)*Plan_Economics!$C$27+Inputs!$B$44*Plan_Economics!$D$27+0.2*Plan_Economics!$E$27))</f>
        <v>0.408636703670172</v>
      </c>
      <c r="C60" s="10" t="n">
        <f aca="false">1-(Rate_Card!$I$36*Rate_Card!$K$36*(1-$A60)+Rate_Card!$I$37*Rate_Card!$K$37*(1-$A60)+Rate_Card!$I$38*Rate_Card!$K$38*(1-$A60)+Rate_Card!$I$39*Rate_Card!$K$39*(1-$A60))/((Rate_Card!$I$36*Rate_Card!$K$36*(((1-$A60)/(1-Inputs!$B$6))+Rate_Card!$L$36*(1-((1-$A60)/(1-Inputs!$B$6))))+Rate_Card!$I$37*Rate_Card!$K$37*(((1-$A60)/(1-Inputs!$B$6))+Rate_Card!$L$37*(1-((1-$A60)/(1-Inputs!$B$6))))+Rate_Card!$I$38*Rate_Card!$K$38*(((1-$A60)/(1-Inputs!$B$6))+Rate_Card!$L$38*(1-((1-$A60)/(1-Inputs!$B$6))))+Rate_Card!$I$39*Rate_Card!$K$39*(((1-$A60)/(1-Inputs!$B$6))+Rate_Card!$L$39*(1-((1-$A60)/(1-Inputs!$B$6)))))*((1-0.35-Inputs!$B$44)*Plan_Economics!$C$27+Inputs!$B$44*Plan_Economics!$D$27+0.35*Plan_Economics!$E$27))</f>
        <v>0.39924252689182</v>
      </c>
      <c r="D60" s="10" t="n">
        <f aca="false">1-(Rate_Card!$I$36*Rate_Card!$K$36*(1-$A60)+Rate_Card!$I$37*Rate_Card!$K$37*(1-$A60)+Rate_Card!$I$38*Rate_Card!$K$38*(1-$A60)+Rate_Card!$I$39*Rate_Card!$K$39*(1-$A60))/((Rate_Card!$I$36*Rate_Card!$K$36*(((1-$A60)/(1-Inputs!$B$6))+Rate_Card!$L$36*(1-((1-$A60)/(1-Inputs!$B$6))))+Rate_Card!$I$37*Rate_Card!$K$37*(((1-$A60)/(1-Inputs!$B$6))+Rate_Card!$L$37*(1-((1-$A60)/(1-Inputs!$B$6))))+Rate_Card!$I$38*Rate_Card!$K$38*(((1-$A60)/(1-Inputs!$B$6))+Rate_Card!$L$38*(1-((1-$A60)/(1-Inputs!$B$6))))+Rate_Card!$I$39*Rate_Card!$K$39*(((1-$A60)/(1-Inputs!$B$6))+Rate_Card!$L$39*(1-((1-$A60)/(1-Inputs!$B$6)))))*((1-0.45-Inputs!$B$44)*Plan_Economics!$C$27+Inputs!$B$44*Plan_Economics!$D$27+0.45*Plan_Economics!$E$27))</f>
        <v>0.392812153774299</v>
      </c>
      <c r="E60" s="10" t="n">
        <f aca="false">1-(Rate_Card!$I$36*Rate_Card!$K$36*(1-$A60)+Rate_Card!$I$37*Rate_Card!$K$37*(1-$A60)+Rate_Card!$I$38*Rate_Card!$K$38*(1-$A60)+Rate_Card!$I$39*Rate_Card!$K$39*(1-$A60))/((Rate_Card!$I$36*Rate_Card!$K$36*(((1-$A60)/(1-Inputs!$B$6))+Rate_Card!$L$36*(1-((1-$A60)/(1-Inputs!$B$6))))+Rate_Card!$I$37*Rate_Card!$K$37*(((1-$A60)/(1-Inputs!$B$6))+Rate_Card!$L$37*(1-((1-$A60)/(1-Inputs!$B$6))))+Rate_Card!$I$38*Rate_Card!$K$38*(((1-$A60)/(1-Inputs!$B$6))+Rate_Card!$L$38*(1-((1-$A60)/(1-Inputs!$B$6))))+Rate_Card!$I$39*Rate_Card!$K$39*(((1-$A60)/(1-Inputs!$B$6))+Rate_Card!$L$39*(1-((1-$A60)/(1-Inputs!$B$6)))))*((1-0.6-Inputs!$B$44)*Plan_Economics!$C$27+Inputs!$B$44*Plan_Economics!$D$27+0.6*Plan_Economics!$E$27))</f>
        <v>0.382904272589027</v>
      </c>
      <c r="F60" s="10" t="n">
        <f aca="false">1-(Rate_Card!$I$36*Rate_Card!$K$36*(1-$A60)+Rate_Card!$I$37*Rate_Card!$K$37*(1-$A60)+Rate_Card!$I$38*Rate_Card!$K$38*(1-$A60)+Rate_Card!$I$39*Rate_Card!$K$39*(1-$A60))/((Rate_Card!$I$36*Rate_Card!$K$36*(((1-$A60)/(1-Inputs!$B$6))+Rate_Card!$L$36*(1-((1-$A60)/(1-Inputs!$B$6))))+Rate_Card!$I$37*Rate_Card!$K$37*(((1-$A60)/(1-Inputs!$B$6))+Rate_Card!$L$37*(1-((1-$A60)/(1-Inputs!$B$6))))+Rate_Card!$I$38*Rate_Card!$K$38*(((1-$A60)/(1-Inputs!$B$6))+Rate_Card!$L$38*(1-((1-$A60)/(1-Inputs!$B$6))))+Rate_Card!$I$39*Rate_Card!$K$39*(((1-$A60)/(1-Inputs!$B$6))+Rate_Card!$L$39*(1-((1-$A60)/(1-Inputs!$B$6)))))*((1-0.75-Inputs!$B$44)*Plan_Economics!$C$27+Inputs!$B$44*Plan_Economics!$D$27+0.75*Plan_Economics!$E$27))</f>
        <v>0.372667680864887</v>
      </c>
    </row>
    <row r="61" customFormat="false" ht="15" hidden="false" customHeight="false" outlineLevel="0" collapsed="false">
      <c r="A61" s="9" t="n">
        <v>0.55</v>
      </c>
      <c r="B61" s="10" t="n">
        <f aca="false">1-(Rate_Card!$I$36*Rate_Card!$K$36*(1-$A61)+Rate_Card!$I$37*Rate_Card!$K$37*(1-$A61)+Rate_Card!$I$38*Rate_Card!$K$38*(1-$A61)+Rate_Card!$I$39*Rate_Card!$K$39*(1-$A61))/((Rate_Card!$I$36*Rate_Card!$K$36*(((1-$A61)/(1-Inputs!$B$6))+Rate_Card!$L$36*(1-((1-$A61)/(1-Inputs!$B$6))))+Rate_Card!$I$37*Rate_Card!$K$37*(((1-$A61)/(1-Inputs!$B$6))+Rate_Card!$L$37*(1-((1-$A61)/(1-Inputs!$B$6))))+Rate_Card!$I$38*Rate_Card!$K$38*(((1-$A61)/(1-Inputs!$B$6))+Rate_Card!$L$38*(1-((1-$A61)/(1-Inputs!$B$6))))+Rate_Card!$I$39*Rate_Card!$K$39*(((1-$A61)/(1-Inputs!$B$6))+Rate_Card!$L$39*(1-((1-$A61)/(1-Inputs!$B$6)))))*((1-0.2-Inputs!$B$44)*Plan_Economics!$C$27+Inputs!$B$44*Plan_Economics!$D$27+0.2*Plan_Economics!$E$27))</f>
        <v>0.445817886498585</v>
      </c>
      <c r="C61" s="10" t="n">
        <f aca="false">1-(Rate_Card!$I$36*Rate_Card!$K$36*(1-$A61)+Rate_Card!$I$37*Rate_Card!$K$37*(1-$A61)+Rate_Card!$I$38*Rate_Card!$K$38*(1-$A61)+Rate_Card!$I$39*Rate_Card!$K$39*(1-$A61))/((Rate_Card!$I$36*Rate_Card!$K$36*(((1-$A61)/(1-Inputs!$B$6))+Rate_Card!$L$36*(1-((1-$A61)/(1-Inputs!$B$6))))+Rate_Card!$I$37*Rate_Card!$K$37*(((1-$A61)/(1-Inputs!$B$6))+Rate_Card!$L$37*(1-((1-$A61)/(1-Inputs!$B$6))))+Rate_Card!$I$38*Rate_Card!$K$38*(((1-$A61)/(1-Inputs!$B$6))+Rate_Card!$L$38*(1-((1-$A61)/(1-Inputs!$B$6))))+Rate_Card!$I$39*Rate_Card!$K$39*(((1-$A61)/(1-Inputs!$B$6))+Rate_Card!$L$39*(1-((1-$A61)/(1-Inputs!$B$6)))))*((1-0.35-Inputs!$B$44)*Plan_Economics!$C$27+Inputs!$B$44*Plan_Economics!$D$27+0.35*Plan_Economics!$E$27))</f>
        <v>0.437014356124036</v>
      </c>
      <c r="D61" s="10" t="n">
        <f aca="false">1-(Rate_Card!$I$36*Rate_Card!$K$36*(1-$A61)+Rate_Card!$I$37*Rate_Card!$K$37*(1-$A61)+Rate_Card!$I$38*Rate_Card!$K$38*(1-$A61)+Rate_Card!$I$39*Rate_Card!$K$39*(1-$A61))/((Rate_Card!$I$36*Rate_Card!$K$36*(((1-$A61)/(1-Inputs!$B$6))+Rate_Card!$L$36*(1-((1-$A61)/(1-Inputs!$B$6))))+Rate_Card!$I$37*Rate_Card!$K$37*(((1-$A61)/(1-Inputs!$B$6))+Rate_Card!$L$37*(1-((1-$A61)/(1-Inputs!$B$6))))+Rate_Card!$I$38*Rate_Card!$K$38*(((1-$A61)/(1-Inputs!$B$6))+Rate_Card!$L$38*(1-((1-$A61)/(1-Inputs!$B$6))))+Rate_Card!$I$39*Rate_Card!$K$39*(((1-$A61)/(1-Inputs!$B$6))+Rate_Card!$L$39*(1-((1-$A61)/(1-Inputs!$B$6)))))*((1-0.45-Inputs!$B$44)*Plan_Economics!$C$27+Inputs!$B$44*Plan_Economics!$D$27+0.45*Plan_Economics!$E$27))</f>
        <v>0.430988284186554</v>
      </c>
      <c r="E61" s="10" t="n">
        <f aca="false">1-(Rate_Card!$I$36*Rate_Card!$K$36*(1-$A61)+Rate_Card!$I$37*Rate_Card!$K$37*(1-$A61)+Rate_Card!$I$38*Rate_Card!$K$38*(1-$A61)+Rate_Card!$I$39*Rate_Card!$K$39*(1-$A61))/((Rate_Card!$I$36*Rate_Card!$K$36*(((1-$A61)/(1-Inputs!$B$6))+Rate_Card!$L$36*(1-((1-$A61)/(1-Inputs!$B$6))))+Rate_Card!$I$37*Rate_Card!$K$37*(((1-$A61)/(1-Inputs!$B$6))+Rate_Card!$L$37*(1-((1-$A61)/(1-Inputs!$B$6))))+Rate_Card!$I$38*Rate_Card!$K$38*(((1-$A61)/(1-Inputs!$B$6))+Rate_Card!$L$38*(1-((1-$A61)/(1-Inputs!$B$6))))+Rate_Card!$I$39*Rate_Card!$K$39*(((1-$A61)/(1-Inputs!$B$6))+Rate_Card!$L$39*(1-((1-$A61)/(1-Inputs!$B$6)))))*((1-0.6-Inputs!$B$44)*Plan_Economics!$C$27+Inputs!$B$44*Plan_Economics!$D$27+0.6*Plan_Economics!$E$27))</f>
        <v>0.421703347888254</v>
      </c>
      <c r="F61" s="10" t="n">
        <f aca="false">1-(Rate_Card!$I$36*Rate_Card!$K$36*(1-$A61)+Rate_Card!$I$37*Rate_Card!$K$37*(1-$A61)+Rate_Card!$I$38*Rate_Card!$K$38*(1-$A61)+Rate_Card!$I$39*Rate_Card!$K$39*(1-$A61))/((Rate_Card!$I$36*Rate_Card!$K$36*(((1-$A61)/(1-Inputs!$B$6))+Rate_Card!$L$36*(1-((1-$A61)/(1-Inputs!$B$6))))+Rate_Card!$I$37*Rate_Card!$K$37*(((1-$A61)/(1-Inputs!$B$6))+Rate_Card!$L$37*(1-((1-$A61)/(1-Inputs!$B$6))))+Rate_Card!$I$38*Rate_Card!$K$38*(((1-$A61)/(1-Inputs!$B$6))+Rate_Card!$L$38*(1-((1-$A61)/(1-Inputs!$B$6))))+Rate_Card!$I$39*Rate_Card!$K$39*(((1-$A61)/(1-Inputs!$B$6))+Rate_Card!$L$39*(1-((1-$A61)/(1-Inputs!$B$6)))))*((1-0.75-Inputs!$B$44)*Plan_Economics!$C$27+Inputs!$B$44*Plan_Economics!$D$27+0.75*Plan_Economics!$E$27))</f>
        <v>0.412110368290192</v>
      </c>
    </row>
    <row r="64" customFormat="false" ht="15" hidden="false" customHeight="false" outlineLevel="0" collapsed="false">
      <c r="A64" s="3" t="s">
        <v>425</v>
      </c>
    </row>
    <row r="65" customFormat="false" ht="15" hidden="false" customHeight="false" outlineLevel="0" collapsed="false">
      <c r="A65" s="8" t="s">
        <v>426</v>
      </c>
    </row>
    <row r="66" customFormat="false" ht="15" hidden="false" customHeight="false" outlineLevel="0" collapsed="false">
      <c r="A66" s="6" t="s">
        <v>427</v>
      </c>
      <c r="B66" s="46" t="n">
        <v>0.14</v>
      </c>
      <c r="C66" s="46" t="n">
        <v>0.18</v>
      </c>
      <c r="D66" s="46" t="n">
        <v>0.22</v>
      </c>
      <c r="E66" s="46" t="n">
        <v>0.26</v>
      </c>
      <c r="F66" s="46" t="n">
        <v>0.3</v>
      </c>
    </row>
    <row r="67" customFormat="false" ht="15" hidden="false" customHeight="false" outlineLevel="0" collapsed="false">
      <c r="A67" s="32" t="n">
        <v>30000</v>
      </c>
      <c r="B67" s="16" t="n">
        <f aca="false">($A67*((1+0.14)^12-1)/0.14)*(Forecast_12M!$N$11/Forecast_12M!$N$5-Plan_Economics!$C$34)-Forecast_12M!$N$15</f>
        <v>-726629.522052472</v>
      </c>
      <c r="C67" s="16" t="n">
        <f aca="false">($A67*((1+0.18)^12-1)/0.18)*(Forecast_12M!$N$11/Forecast_12M!$N$5-Plan_Economics!$C$34)-Forecast_12M!$N$15</f>
        <v>-677929.957515156</v>
      </c>
      <c r="D67" s="16" t="n">
        <f aca="false">($A67*((1+0.22)^12-1)/0.22)*(Forecast_12M!$N$11/Forecast_12M!$N$5-Plan_Economics!$C$34)-Forecast_12M!$N$15</f>
        <v>-614720.911248283</v>
      </c>
      <c r="E67" s="16" t="n">
        <f aca="false">($A67*((1+0.26)^12-1)/0.26)*(Forecast_12M!$N$11/Forecast_12M!$N$5-Plan_Economics!$C$34)-Forecast_12M!$N$15</f>
        <v>-532933.867020189</v>
      </c>
      <c r="F67" s="16" t="n">
        <f aca="false">($A67*((1+0.3)^12-1)/0.3)*(Forecast_12M!$N$11/Forecast_12M!$N$5-Plan_Economics!$C$34)-Forecast_12M!$N$15</f>
        <v>-427475.426059993</v>
      </c>
      <c r="P67" s="8" t="s">
        <v>428</v>
      </c>
    </row>
    <row r="68" customFormat="false" ht="15" hidden="false" customHeight="false" outlineLevel="0" collapsed="false">
      <c r="A68" s="32" t="n">
        <v>45000</v>
      </c>
      <c r="B68" s="16" t="n">
        <f aca="false">($A68*((1+0.14)^12-1)/0.14)*(Forecast_12M!$N$11/Forecast_12M!$N$5-Plan_Economics!$C$34)-Forecast_12M!$N$15</f>
        <v>-639944.283078708</v>
      </c>
      <c r="C68" s="16" t="n">
        <f aca="false">($A68*((1+0.18)^12-1)/0.18)*(Forecast_12M!$N$11/Forecast_12M!$N$5-Plan_Economics!$C$34)-Forecast_12M!$N$15</f>
        <v>-566894.936272733</v>
      </c>
      <c r="D68" s="16" t="n">
        <f aca="false">($A68*((1+0.22)^12-1)/0.22)*(Forecast_12M!$N$11/Forecast_12M!$N$5-Plan_Economics!$C$34)-Forecast_12M!$N$15</f>
        <v>-472081.366872424</v>
      </c>
      <c r="E68" s="16" t="n">
        <f aca="false">($A68*((1+0.26)^12-1)/0.26)*(Forecast_12M!$N$11/Forecast_12M!$N$5-Plan_Economics!$C$34)-Forecast_12M!$N$15</f>
        <v>-349400.800530283</v>
      </c>
      <c r="F68" s="16" t="n">
        <f aca="false">($A68*((1+0.3)^12-1)/0.3)*(Forecast_12M!$N$11/Forecast_12M!$N$5-Plan_Economics!$C$34)-Forecast_12M!$N$15</f>
        <v>-191213.139089989</v>
      </c>
    </row>
    <row r="69" customFormat="false" ht="15" hidden="false" customHeight="false" outlineLevel="0" collapsed="false">
      <c r="A69" s="32" t="n">
        <v>60000</v>
      </c>
      <c r="B69" s="16" t="n">
        <f aca="false">($A69*((1+0.14)^12-1)/0.14)*(Forecast_12M!$N$11/Forecast_12M!$N$5-Plan_Economics!$C$34)-Forecast_12M!$N$15</f>
        <v>-553259.044104944</v>
      </c>
      <c r="C69" s="16" t="n">
        <f aca="false">($A69*((1+0.18)^12-1)/0.18)*(Forecast_12M!$N$11/Forecast_12M!$N$5-Plan_Economics!$C$34)-Forecast_12M!$N$15</f>
        <v>-455859.915030311</v>
      </c>
      <c r="D69" s="16" t="n">
        <f aca="false">($A69*((1+0.22)^12-1)/0.22)*(Forecast_12M!$N$11/Forecast_12M!$N$5-Plan_Economics!$C$34)-Forecast_12M!$N$15</f>
        <v>-329441.822496566</v>
      </c>
      <c r="E69" s="16" t="n">
        <f aca="false">($A69*((1+0.26)^12-1)/0.26)*(Forecast_12M!$N$11/Forecast_12M!$N$5-Plan_Economics!$C$34)-Forecast_12M!$N$15</f>
        <v>-165867.734040377</v>
      </c>
      <c r="F69" s="16" t="n">
        <f aca="false">($A69*((1+0.3)^12-1)/0.3)*(Forecast_12M!$N$11/Forecast_12M!$N$5-Plan_Economics!$C$34)-Forecast_12M!$N$15</f>
        <v>45049.1478800147</v>
      </c>
    </row>
    <row r="70" customFormat="false" ht="15" hidden="false" customHeight="false" outlineLevel="0" collapsed="false">
      <c r="A70" s="32" t="n">
        <v>90000</v>
      </c>
      <c r="B70" s="16" t="n">
        <f aca="false">($A70*((1+0.14)^12-1)/0.14)*(Forecast_12M!$N$11/Forecast_12M!$N$5-Plan_Economics!$C$34)-Forecast_12M!$N$15</f>
        <v>-379888.566157415</v>
      </c>
      <c r="C70" s="16" t="n">
        <f aca="false">($A70*((1+0.18)^12-1)/0.18)*(Forecast_12M!$N$11/Forecast_12M!$N$5-Plan_Economics!$C$34)-Forecast_12M!$N$15</f>
        <v>-233789.872545467</v>
      </c>
      <c r="D70" s="16" t="n">
        <f aca="false">($A70*((1+0.22)^12-1)/0.22)*(Forecast_12M!$N$11/Forecast_12M!$N$5-Plan_Economics!$C$34)-Forecast_12M!$N$15</f>
        <v>-44162.7337448486</v>
      </c>
      <c r="E70" s="16" t="n">
        <f aca="false">($A70*((1+0.26)^12-1)/0.26)*(Forecast_12M!$N$11/Forecast_12M!$N$5-Plan_Economics!$C$34)-Forecast_12M!$N$15</f>
        <v>201198.398939434</v>
      </c>
      <c r="F70" s="16" t="n">
        <f aca="false">($A70*((1+0.3)^12-1)/0.3)*(Forecast_12M!$N$11/Forecast_12M!$N$5-Plan_Economics!$C$34)-Forecast_12M!$N$15</f>
        <v>517573.721820022</v>
      </c>
    </row>
    <row r="71" customFormat="false" ht="15" hidden="false" customHeight="false" outlineLevel="0" collapsed="false">
      <c r="A71" s="32" t="n">
        <v>120000</v>
      </c>
      <c r="B71" s="16" t="n">
        <f aca="false">($A71*((1+0.14)^12-1)/0.14)*(Forecast_12M!$N$11/Forecast_12M!$N$5-Plan_Economics!$C$34)-Forecast_12M!$N$15</f>
        <v>-206518.088209887</v>
      </c>
      <c r="C71" s="16" t="n">
        <f aca="false">($A71*((1+0.18)^12-1)/0.18)*(Forecast_12M!$N$11/Forecast_12M!$N$5-Plan_Economics!$C$34)-Forecast_12M!$N$15</f>
        <v>-11719.8300606225</v>
      </c>
      <c r="D71" s="16" t="n">
        <f aca="false">($A71*((1+0.22)^12-1)/0.22)*(Forecast_12M!$N$11/Forecast_12M!$N$5-Plan_Economics!$C$34)-Forecast_12M!$N$15</f>
        <v>241116.355006868</v>
      </c>
      <c r="E71" s="16" t="n">
        <f aca="false">($A71*((1+0.26)^12-1)/0.26)*(Forecast_12M!$N$11/Forecast_12M!$N$5-Plan_Economics!$C$34)-Forecast_12M!$N$15</f>
        <v>568264.531919246</v>
      </c>
      <c r="F71" s="16" t="n">
        <f aca="false">($A71*((1+0.3)^12-1)/0.3)*(Forecast_12M!$N$11/Forecast_12M!$N$5-Plan_Economics!$C$34)-Forecast_12M!$N$15</f>
        <v>990098.29576003</v>
      </c>
    </row>
    <row r="74" customFormat="false" ht="15" hidden="false" customHeight="false" outlineLevel="0" collapsed="false">
      <c r="A74" s="3" t="s">
        <v>429</v>
      </c>
    </row>
    <row r="75" customFormat="false" ht="15" hidden="false" customHeight="false" outlineLevel="0" collapsed="false">
      <c r="A75" s="8" t="s">
        <v>430</v>
      </c>
    </row>
    <row r="76" customFormat="false" ht="23.85" hidden="false" customHeight="false" outlineLevel="0" collapsed="false">
      <c r="A76" s="6" t="s">
        <v>431</v>
      </c>
      <c r="B76" s="6" t="s">
        <v>432</v>
      </c>
      <c r="C76" s="6" t="s">
        <v>433</v>
      </c>
      <c r="D76" s="6" t="s">
        <v>408</v>
      </c>
      <c r="E76" s="6" t="s">
        <v>409</v>
      </c>
      <c r="F76" s="6" t="s">
        <v>410</v>
      </c>
      <c r="G76" s="6" t="s">
        <v>434</v>
      </c>
    </row>
    <row r="77" customFormat="false" ht="15" hidden="false" customHeight="false" outlineLevel="0" collapsed="false">
      <c r="A77" s="9" t="n">
        <v>0.1</v>
      </c>
      <c r="B77" s="10" t="n">
        <f aca="false">1-A77-C77</f>
        <v>0.7</v>
      </c>
      <c r="C77" s="25" t="n">
        <f aca="false">Inputs!$B$10</f>
        <v>0.2</v>
      </c>
      <c r="D77" s="21" t="n">
        <f aca="false">SUMPRODUCT(Rate_Card!$I$36:$I$39,(B77*Rate_Card!$M$36:$M$39+A77*Rate_Card!$N$36:$N$39+C77*Rate_Card!$O$36:$O$39))</f>
        <v>0.611299036212925</v>
      </c>
      <c r="E77" s="21" t="n">
        <f aca="false">SUMPRODUCT(Rate_Card!$I$36:$I$39,(B77*Rate_Card!$P$36:$P$39+A77*Rate_Card!$Q$36:$Q$39+C77*Rate_Card!$R$36:$R$39))</f>
        <v>0.374611572919048</v>
      </c>
      <c r="F77" s="10" t="n">
        <f aca="false">1-E77/D77</f>
        <v>0.387187692557453</v>
      </c>
      <c r="G77" s="10" t="n">
        <f aca="false">D77/Rate_Card!$B$42-1</f>
        <v>0.0506659162219081</v>
      </c>
    </row>
    <row r="78" customFormat="false" ht="15" hidden="false" customHeight="false" outlineLevel="0" collapsed="false">
      <c r="A78" s="9" t="n">
        <v>0.15</v>
      </c>
      <c r="B78" s="10" t="n">
        <f aca="false">1-A78-C78</f>
        <v>0.65</v>
      </c>
      <c r="C78" s="25" t="n">
        <f aca="false">Inputs!$B$10</f>
        <v>0.2</v>
      </c>
      <c r="D78" s="21" t="n">
        <f aca="false">SUMPRODUCT(Rate_Card!$I$36:$I$39,(B78*Rate_Card!$M$36:$M$39+A78*Rate_Card!$N$36:$N$39+C78*Rate_Card!$O$36:$O$39))</f>
        <v>0.596559800230726</v>
      </c>
      <c r="E78" s="21" t="n">
        <f aca="false">SUMPRODUCT(Rate_Card!$I$36:$I$39,(B78*Rate_Card!$P$36:$P$39+A78*Rate_Card!$Q$36:$Q$39+C78*Rate_Card!$R$36:$R$39))</f>
        <v>0.365598113326984</v>
      </c>
      <c r="F78" s="10" t="n">
        <f aca="false">1-E78/D78</f>
        <v>0.387155967958979</v>
      </c>
      <c r="G78" s="10" t="n">
        <f aca="false">D78/Rate_Card!$B$42-1</f>
        <v>0.025332958110954</v>
      </c>
    </row>
    <row r="79" customFormat="false" ht="15" hidden="false" customHeight="false" outlineLevel="0" collapsed="false">
      <c r="A79" s="9" t="n">
        <v>0.2</v>
      </c>
      <c r="B79" s="10" t="n">
        <f aca="false">1-A79-C79</f>
        <v>0.6</v>
      </c>
      <c r="C79" s="25" t="n">
        <f aca="false">Inputs!$B$10</f>
        <v>0.2</v>
      </c>
      <c r="D79" s="21" t="n">
        <f aca="false">SUMPRODUCT(Rate_Card!$I$36:$I$39,(B79*Rate_Card!$M$36:$M$39+A79*Rate_Card!$N$36:$N$39+C79*Rate_Card!$O$36:$O$39))</f>
        <v>0.581820564248526</v>
      </c>
      <c r="E79" s="21" t="n">
        <f aca="false">SUMPRODUCT(Rate_Card!$I$36:$I$39,(B79*Rate_Card!$P$36:$P$39+A79*Rate_Card!$Q$36:$Q$39+C79*Rate_Card!$R$36:$R$39))</f>
        <v>0.356584653734921</v>
      </c>
      <c r="F79" s="10" t="n">
        <f aca="false">1-E79/D79</f>
        <v>0.387122636004656</v>
      </c>
      <c r="G79" s="10" t="n">
        <f aca="false">D79/Rate_Card!$B$42-1</f>
        <v>0</v>
      </c>
    </row>
    <row r="80" customFormat="false" ht="15" hidden="false" customHeight="false" outlineLevel="0" collapsed="false">
      <c r="A80" s="9" t="n">
        <v>0.3</v>
      </c>
      <c r="B80" s="10" t="n">
        <f aca="false">1-A80-C80</f>
        <v>0.5</v>
      </c>
      <c r="C80" s="25" t="n">
        <f aca="false">Inputs!$B$10</f>
        <v>0.2</v>
      </c>
      <c r="D80" s="21" t="n">
        <f aca="false">SUMPRODUCT(Rate_Card!$I$36:$I$39,(B80*Rate_Card!$M$36:$M$39+A80*Rate_Card!$N$36:$N$39+C80*Rate_Card!$O$36:$O$39))</f>
        <v>0.552342092284127</v>
      </c>
      <c r="E80" s="21" t="n">
        <f aca="false">SUMPRODUCT(Rate_Card!$I$36:$I$39,(B80*Rate_Card!$P$36:$P$39+A80*Rate_Card!$Q$36:$Q$39+C80*Rate_Card!$R$36:$R$39))</f>
        <v>0.338557734550794</v>
      </c>
      <c r="F80" s="10" t="n">
        <f aca="false">1-E80/D80</f>
        <v>0.387050635321419</v>
      </c>
      <c r="G80" s="10" t="n">
        <f aca="false">D80/Rate_Card!$B$42-1</f>
        <v>-0.0506659162219081</v>
      </c>
    </row>
    <row r="81" customFormat="false" ht="15" hidden="false" customHeight="false" outlineLevel="0" collapsed="false">
      <c r="A81" s="9" t="n">
        <v>0.4</v>
      </c>
      <c r="B81" s="10" t="n">
        <f aca="false">1-A81-C81</f>
        <v>0.4</v>
      </c>
      <c r="C81" s="25" t="n">
        <f aca="false">Inputs!$B$10</f>
        <v>0.2</v>
      </c>
      <c r="D81" s="21" t="n">
        <f aca="false">SUMPRODUCT(Rate_Card!$I$36:$I$39,(B81*Rate_Card!$M$36:$M$39+A81*Rate_Card!$N$36:$N$39+C81*Rate_Card!$O$36:$O$39))</f>
        <v>0.522863620319728</v>
      </c>
      <c r="E81" s="21" t="n">
        <f aca="false">SUMPRODUCT(Rate_Card!$I$36:$I$39,(B81*Rate_Card!$P$36:$P$39+A81*Rate_Card!$Q$36:$Q$39+C81*Rate_Card!$R$36:$R$39))</f>
        <v>0.320530815366667</v>
      </c>
      <c r="F81" s="10" t="n">
        <f aca="false">1-E81/D81</f>
        <v>0.386970516000589</v>
      </c>
      <c r="G81" s="10" t="n">
        <f aca="false">D81/Rate_Card!$B$42-1</f>
        <v>-0.101331832443816</v>
      </c>
    </row>
    <row r="82" customFormat="false" ht="15" hidden="false" customHeight="false" outlineLevel="0" collapsed="false">
      <c r="A82" s="9" t="n">
        <v>0.5</v>
      </c>
      <c r="B82" s="10" t="n">
        <f aca="false">1-A82-C82</f>
        <v>0.3</v>
      </c>
      <c r="C82" s="25" t="n">
        <f aca="false">Inputs!$B$10</f>
        <v>0.2</v>
      </c>
      <c r="D82" s="21" t="n">
        <f aca="false">SUMPRODUCT(Rate_Card!$I$36:$I$39,(B82*Rate_Card!$M$36:$M$39+A82*Rate_Card!$N$36:$N$39+C82*Rate_Card!$O$36:$O$39))</f>
        <v>0.493385148355329</v>
      </c>
      <c r="E82" s="21" t="n">
        <f aca="false">SUMPRODUCT(Rate_Card!$I$36:$I$39,(B82*Rate_Card!$P$36:$P$39+A82*Rate_Card!$Q$36:$Q$39+C82*Rate_Card!$R$36:$R$39))</f>
        <v>0.30250389618254</v>
      </c>
      <c r="F82" s="10" t="n">
        <f aca="false">1-E82/D82</f>
        <v>0.386880822840089</v>
      </c>
      <c r="G82" s="10" t="n">
        <f aca="false">D82/Rate_Card!$B$42-1</f>
        <v>-0.151997748665724</v>
      </c>
    </row>
    <row r="84" customFormat="false" ht="15" hidden="false" customHeight="false" outlineLevel="0" collapsed="false">
      <c r="A84" s="3" t="s">
        <v>435</v>
      </c>
    </row>
    <row r="85" customFormat="false" ht="15" hidden="false" customHeight="false" outlineLevel="0" collapsed="false">
      <c r="A85" s="8" t="s">
        <v>436</v>
      </c>
    </row>
    <row r="86" customFormat="false" ht="35.05" hidden="false" customHeight="false" outlineLevel="0" collapsed="false">
      <c r="A86" s="6" t="s">
        <v>437</v>
      </c>
      <c r="B86" s="6" t="s">
        <v>278</v>
      </c>
      <c r="C86" s="6" t="s">
        <v>410</v>
      </c>
      <c r="D86" s="6" t="s">
        <v>411</v>
      </c>
      <c r="E86" s="6" t="s">
        <v>438</v>
      </c>
      <c r="F86" s="6" t="s">
        <v>404</v>
      </c>
      <c r="G86" s="6" t="s">
        <v>439</v>
      </c>
    </row>
    <row r="87" customFormat="false" ht="15" hidden="false" customHeight="false" outlineLevel="0" collapsed="false">
      <c r="A87" s="11" t="s">
        <v>61</v>
      </c>
      <c r="B87" s="31" t="n">
        <f aca="false">Inputs!$B$6</f>
        <v>0.3</v>
      </c>
      <c r="C87" s="10" t="n">
        <f aca="false">IFERROR(INDEX($F$101:$F$146,MATCH(B87,$B$101:$B$146,0)),"")</f>
        <v>0.3</v>
      </c>
      <c r="D87" s="10" t="n">
        <f aca="false">IFERROR(INDEX($H$101:$H$146,MATCH(B87,$B$101:$B$146,0)),"")</f>
        <v>0.3</v>
      </c>
      <c r="E87" s="10" t="n">
        <f aca="false">IFERROR(INDEX($K$101:$K$146,MATCH(B87,$B$101:$B$146,0)),"")</f>
        <v>0.125</v>
      </c>
      <c r="F87" s="16" t="n">
        <f aca="false">IFERROR(INDEX($J$101:$J$146,MATCH(B87,$B$101:$B$146,0)),"")</f>
        <v>483705.114739392</v>
      </c>
      <c r="G87" s="8" t="s">
        <v>440</v>
      </c>
    </row>
    <row r="88" customFormat="false" ht="15" hidden="false" customHeight="false" outlineLevel="0" collapsed="false">
      <c r="A88" s="11" t="s">
        <v>441</v>
      </c>
      <c r="B88" s="31" t="n">
        <f aca="false">IFERROR(INDEX($B$101:$B$146,MATCH(Inputs!$B$51,$K$101:$K$146,1)+1),"")</f>
        <v>0.35</v>
      </c>
      <c r="C88" s="10" t="n">
        <f aca="false">IFERROR(INDEX($F$101:$F$146,MATCH(B88,$B$101:$B$146,0)),"")</f>
        <v>0.326984272685441</v>
      </c>
      <c r="D88" s="10" t="n">
        <f aca="false">IFERROR(INDEX($H$101:$H$146,MATCH(B88,$B$101:$B$146,0)),"")</f>
        <v>0.32089552238806</v>
      </c>
      <c r="E88" s="10" t="n">
        <f aca="false">IFERROR(INDEX($K$101:$K$146,MATCH(B88,$B$101:$B$146,0)),"")</f>
        <v>0.151119402985075</v>
      </c>
      <c r="F88" s="16" t="n">
        <f aca="false">IFERROR(INDEX($J$101:$J$146,MATCH(B88,$B$101:$B$146,0)),"")</f>
        <v>512656.13566074</v>
      </c>
      <c r="G88" s="8" t="s">
        <v>442</v>
      </c>
    </row>
    <row r="89" customFormat="false" ht="15" hidden="false" customHeight="false" outlineLevel="0" collapsed="false">
      <c r="A89" s="11" t="s">
        <v>57</v>
      </c>
      <c r="B89" s="31" t="n">
        <f aca="false">IFERROR(INDEX($B$101:$B$146,MATCH(0.35,$F$101:$F$146,1)+1),"")</f>
        <v>0.4</v>
      </c>
      <c r="C89" s="10" t="n">
        <f aca="false">IFERROR(INDEX($F$101:$F$146,MATCH(B89,$B$101:$B$146,0)),"")</f>
        <v>0.355949656186467</v>
      </c>
      <c r="D89" s="10" t="n">
        <f aca="false">IFERROR(INDEX($H$101:$H$146,MATCH(B89,$B$101:$B$146,0)),"")</f>
        <v>0.34375</v>
      </c>
      <c r="E89" s="10" t="n">
        <f aca="false">IFERROR(INDEX($K$101:$K$146,MATCH(B89,$B$101:$B$146,0)),"")</f>
        <v>0.1796875</v>
      </c>
      <c r="F89" s="16" t="n">
        <f aca="false">IFERROR(INDEX($J$101:$J$146,MATCH(B89,$B$101:$B$146,0)),"")</f>
        <v>541607.156582087</v>
      </c>
      <c r="G89" s="8" t="s">
        <v>443</v>
      </c>
    </row>
    <row r="90" customFormat="false" ht="15" hidden="false" customHeight="false" outlineLevel="0" collapsed="false">
      <c r="A90" s="11" t="s">
        <v>55</v>
      </c>
      <c r="B90" s="31" t="n">
        <f aca="false">IFERROR(INDEX($B$101:$B$146,MATCH(0.42,$F$101:$F$146,1)+1),"")</f>
        <v>0.5</v>
      </c>
      <c r="C90" s="10" t="n">
        <f aca="false">IFERROR(INDEX($F$101:$F$146,MATCH(B90,$B$101:$B$146,0)),"")</f>
        <v>0.420765588532429</v>
      </c>
      <c r="D90" s="10" t="n">
        <f aca="false">IFERROR(INDEX($H$101:$H$146,MATCH(B90,$B$101:$B$146,0)),"")</f>
        <v>0.396551724137931</v>
      </c>
      <c r="E90" s="10" t="n">
        <f aca="false">IFERROR(INDEX($K$101:$K$146,MATCH(B90,$B$101:$B$146,0)),"")</f>
        <v>0.245689655172414</v>
      </c>
      <c r="F90" s="16" t="n">
        <f aca="false">IFERROR(INDEX($J$101:$J$146,MATCH(B90,$B$101:$B$146,0)),"")</f>
        <v>599509.198424782</v>
      </c>
      <c r="G90" s="8" t="s">
        <v>444</v>
      </c>
    </row>
    <row r="92" customFormat="false" ht="15" hidden="false" customHeight="false" outlineLevel="0" collapsed="false">
      <c r="A92" s="3" t="s">
        <v>445</v>
      </c>
    </row>
    <row r="93" customFormat="false" ht="23.85" hidden="false" customHeight="false" outlineLevel="0" collapsed="false">
      <c r="A93" s="6" t="s">
        <v>236</v>
      </c>
      <c r="B93" s="6" t="s">
        <v>446</v>
      </c>
      <c r="C93" s="6" t="s">
        <v>237</v>
      </c>
    </row>
    <row r="94" customFormat="false" ht="15" hidden="false" customHeight="false" outlineLevel="0" collapsed="false">
      <c r="A94" s="4" t="s">
        <v>215</v>
      </c>
      <c r="B94" s="21" t="n">
        <f aca="false">($G$146-$G$101)/45</f>
        <v>0.00204901268630386</v>
      </c>
      <c r="G94" s="8" t="s">
        <v>447</v>
      </c>
    </row>
    <row r="95" customFormat="false" ht="15" hidden="false" customHeight="false" outlineLevel="0" collapsed="false">
      <c r="A95" s="4" t="s">
        <v>404</v>
      </c>
      <c r="B95" s="16" t="n">
        <f aca="false">($J$146-$J$101)/45</f>
        <v>5790.20418426948</v>
      </c>
      <c r="G95" s="8" t="s">
        <v>448</v>
      </c>
    </row>
    <row r="96" customFormat="false" ht="15" hidden="false" customHeight="false" outlineLevel="0" collapsed="false">
      <c r="A96" s="4" t="s">
        <v>449</v>
      </c>
      <c r="B96" s="47" t="n">
        <f aca="false">($F$146-$F$101)*100/45</f>
        <v>0.693808063329464</v>
      </c>
      <c r="G96" s="8" t="s">
        <v>450</v>
      </c>
    </row>
    <row r="97" customFormat="false" ht="15" hidden="false" customHeight="false" outlineLevel="0" collapsed="false">
      <c r="A97" s="4" t="s">
        <v>413</v>
      </c>
      <c r="B97" s="16" t="n">
        <f aca="false">(Forecast_12M!$N$11*$D$146/Rate_Card!$B$42-Forecast_12M!$N$11*$D$101/Rate_Card!$B$42)/45</f>
        <v>-11665.7286903463</v>
      </c>
      <c r="G97" s="8" t="s">
        <v>451</v>
      </c>
    </row>
    <row r="98" customFormat="false" ht="15" hidden="false" customHeight="false" outlineLevel="0" collapsed="false">
      <c r="A98" s="8" t="s">
        <v>452</v>
      </c>
    </row>
    <row r="99" customFormat="false" ht="15" hidden="false" customHeight="false" outlineLevel="0" collapsed="false">
      <c r="A99" s="3" t="s">
        <v>453</v>
      </c>
    </row>
    <row r="100" customFormat="false" ht="35.05" hidden="false" customHeight="false" outlineLevel="0" collapsed="false">
      <c r="A100" s="6"/>
      <c r="B100" s="6" t="s">
        <v>278</v>
      </c>
      <c r="C100" s="6"/>
      <c r="D100" s="6" t="s">
        <v>454</v>
      </c>
      <c r="E100" s="6" t="s">
        <v>455</v>
      </c>
      <c r="F100" s="6" t="s">
        <v>410</v>
      </c>
      <c r="G100" s="6" t="s">
        <v>293</v>
      </c>
      <c r="H100" s="6" t="s">
        <v>411</v>
      </c>
      <c r="I100" s="6" t="s">
        <v>413</v>
      </c>
      <c r="J100" s="6" t="s">
        <v>404</v>
      </c>
      <c r="K100" s="6" t="s">
        <v>438</v>
      </c>
    </row>
    <row r="101" customFormat="false" ht="15" hidden="false" customHeight="false" outlineLevel="0" collapsed="false">
      <c r="B101" s="10" t="n">
        <v>0.25</v>
      </c>
      <c r="D101" s="21" t="n">
        <f aca="false">Rate_Card!$I$36*Rate_Card!$K$36*(((1-$B101)/(1-Inputs!$B$6))+Rate_Card!$L$36*(1-((1-$B101)/(1-Inputs!$B$6))))+Rate_Card!$I$37*Rate_Card!$K$37*(((1-$B101)/(1-Inputs!$B$6))+Rate_Card!$L$37*(1-((1-$B101)/(1-Inputs!$B$6))))+Rate_Card!$I$38*Rate_Card!$K$38*(((1-$B101)/(1-Inputs!$B$6))+Rate_Card!$L$38*(1-((1-$B101)/(1-Inputs!$B$6))))+Rate_Card!$I$39*Rate_Card!$K$39*(((1-$B101)/(1-Inputs!$B$6))+Rate_Card!$L$39*(1-((1-$B101)/(1-Inputs!$B$6))))</f>
        <v>0.670507457335147</v>
      </c>
      <c r="E101" s="21" t="n">
        <f aca="false">Rate_Card!$I$36*Rate_Card!$K$36*(1-$B101)+Rate_Card!$I$37*Rate_Card!$K$37*(1-$B101)+Rate_Card!$I$38*Rate_Card!$K$38*(1-$B101)+Rate_Card!$I$39*Rate_Card!$K$39*(1-$B101)</f>
        <v>0.486251800547619</v>
      </c>
      <c r="F101" s="10" t="n">
        <f aca="false">1-E101/D101</f>
        <v>0.274800309484745</v>
      </c>
      <c r="G101" s="21" t="n">
        <f aca="false">D101-E101</f>
        <v>0.184255656787528</v>
      </c>
      <c r="H101" s="10" t="n">
        <f aca="false">MIN(1-(1-$B101)/(((1-$B101)/(1-Inputs!$B$6))+Rate_Card!$L$36*(1-((1-$B101)/(1-Inputs!$B$6)))),1-(1-$B101)/(((1-$B101)/(1-Inputs!$B$6))+Rate_Card!$L$37*(1-((1-$B101)/(1-Inputs!$B$6)))),1-(1-$B101)/(((1-$B101)/(1-Inputs!$B$6))+Rate_Card!$L$38*(1-((1-$B101)/(1-Inputs!$B$6)))),1-(1-$B101)/(((1-$B101)/(1-Inputs!$B$6))+Rate_Card!$L$39*(1-((1-$B101)/(1-Inputs!$B$6)))))</f>
        <v>0.270833333333333</v>
      </c>
      <c r="I101" s="16" t="n">
        <f aca="false">Forecast_12M!$N$11*D101/Rate_Card!$B$42</f>
        <v>1763949.05941423</v>
      </c>
      <c r="J101" s="16" t="n">
        <f aca="false">I101-Forecast_12M!$N$5*E101</f>
        <v>454754.093818045</v>
      </c>
      <c r="K101" s="10" t="n">
        <f aca="false">1-(1-H101)/(1-Inputs!$B$50)</f>
        <v>0.0885416666666666</v>
      </c>
    </row>
    <row r="102" customFormat="false" ht="15" hidden="false" customHeight="false" outlineLevel="0" collapsed="false">
      <c r="B102" s="10" t="n">
        <v>0.26</v>
      </c>
      <c r="D102" s="21" t="n">
        <f aca="false">Rate_Card!$I$36*Rate_Card!$K$36*(((1-$B102)/(1-Inputs!$B$6))+Rate_Card!$L$36*(1-((1-$B102)/(1-Inputs!$B$6))))+Rate_Card!$I$37*Rate_Card!$K$37*(((1-$B102)/(1-Inputs!$B$6))+Rate_Card!$L$37*(1-((1-$B102)/(1-Inputs!$B$6))))+Rate_Card!$I$38*Rate_Card!$K$38*(((1-$B102)/(1-Inputs!$B$6))+Rate_Card!$L$38*(1-((1-$B102)/(1-Inputs!$B$6))))+Rate_Card!$I$39*Rate_Card!$K$39*(((1-$B102)/(1-Inputs!$B$6))+Rate_Card!$L$39*(1-((1-$B102)/(1-Inputs!$B$6))))</f>
        <v>0.666073112680816</v>
      </c>
      <c r="E102" s="21" t="n">
        <f aca="false">Rate_Card!$I$36*Rate_Card!$K$36*(1-$B102)+Rate_Card!$I$37*Rate_Card!$K$37*(1-$B102)+Rate_Card!$I$38*Rate_Card!$K$38*(1-$B102)+Rate_Card!$I$39*Rate_Card!$K$39*(1-$B102)</f>
        <v>0.479768443206984</v>
      </c>
      <c r="F102" s="10" t="n">
        <f aca="false">1-E102/D102</f>
        <v>0.279706035158801</v>
      </c>
      <c r="G102" s="21" t="n">
        <f aca="false">D102-E102</f>
        <v>0.186304669473832</v>
      </c>
      <c r="H102" s="10" t="n">
        <f aca="false">MIN(1-(1-$B102)/(((1-$B102)/(1-Inputs!$B$6))+Rate_Card!$L$36*(1-((1-$B102)/(1-Inputs!$B$6)))),1-(1-$B102)/(((1-$B102)/(1-Inputs!$B$6))+Rate_Card!$L$37*(1-((1-$B102)/(1-Inputs!$B$6)))),1-(1-$B102)/(((1-$B102)/(1-Inputs!$B$6))+Rate_Card!$L$38*(1-((1-$B102)/(1-Inputs!$B$6)))),1-(1-$B102)/(((1-$B102)/(1-Inputs!$B$6))+Rate_Card!$L$39*(1-((1-$B102)/(1-Inputs!$B$6)))))</f>
        <v>0.276536312849162</v>
      </c>
      <c r="I102" s="16" t="n">
        <f aca="false">Forecast_12M!$N$11*D102/Rate_Card!$B$42</f>
        <v>1752283.33072388</v>
      </c>
      <c r="J102" s="16" t="n">
        <f aca="false">I102-Forecast_12M!$N$5*E102</f>
        <v>460544.298002314</v>
      </c>
      <c r="K102" s="10" t="n">
        <f aca="false">1-(1-H102)/(1-Inputs!$B$50)</f>
        <v>0.0956703910614526</v>
      </c>
    </row>
    <row r="103" customFormat="false" ht="15" hidden="false" customHeight="false" outlineLevel="0" collapsed="false">
      <c r="B103" s="10" t="n">
        <v>0.27</v>
      </c>
      <c r="D103" s="21" t="n">
        <f aca="false">Rate_Card!$I$36*Rate_Card!$K$36*(((1-$B103)/(1-Inputs!$B$6))+Rate_Card!$L$36*(1-((1-$B103)/(1-Inputs!$B$6))))+Rate_Card!$I$37*Rate_Card!$K$37*(((1-$B103)/(1-Inputs!$B$6))+Rate_Card!$L$37*(1-((1-$B103)/(1-Inputs!$B$6))))+Rate_Card!$I$38*Rate_Card!$K$38*(((1-$B103)/(1-Inputs!$B$6))+Rate_Card!$L$38*(1-((1-$B103)/(1-Inputs!$B$6))))+Rate_Card!$I$39*Rate_Card!$K$39*(((1-$B103)/(1-Inputs!$B$6))+Rate_Card!$L$39*(1-((1-$B103)/(1-Inputs!$B$6))))</f>
        <v>0.661638768026485</v>
      </c>
      <c r="E103" s="21" t="n">
        <f aca="false">Rate_Card!$I$36*Rate_Card!$K$36*(1-$B103)+Rate_Card!$I$37*Rate_Card!$K$37*(1-$B103)+Rate_Card!$I$38*Rate_Card!$K$38*(1-$B103)+Rate_Card!$I$39*Rate_Card!$K$39*(1-$B103)</f>
        <v>0.473285085866349</v>
      </c>
      <c r="F103" s="10" t="n">
        <f aca="false">1-E103/D103</f>
        <v>0.284677517797138</v>
      </c>
      <c r="G103" s="21" t="n">
        <f aca="false">D103-E103</f>
        <v>0.188353682160136</v>
      </c>
      <c r="H103" s="10" t="n">
        <f aca="false">MIN(1-(1-$B103)/(((1-$B103)/(1-Inputs!$B$6))+Rate_Card!$L$36*(1-((1-$B103)/(1-Inputs!$B$6)))),1-(1-$B103)/(((1-$B103)/(1-Inputs!$B$6))+Rate_Card!$L$37*(1-((1-$B103)/(1-Inputs!$B$6)))),1-(1-$B103)/(((1-$B103)/(1-Inputs!$B$6))+Rate_Card!$L$38*(1-((1-$B103)/(1-Inputs!$B$6)))),1-(1-$B103)/(((1-$B103)/(1-Inputs!$B$6))+Rate_Card!$L$39*(1-((1-$B103)/(1-Inputs!$B$6)))))</f>
        <v>0.282303370786517</v>
      </c>
      <c r="I103" s="16" t="n">
        <f aca="false">Forecast_12M!$N$11*D103/Rate_Card!$B$42</f>
        <v>1740617.60203354</v>
      </c>
      <c r="J103" s="16" t="n">
        <f aca="false">I103-Forecast_12M!$N$5*E103</f>
        <v>466334.502186584</v>
      </c>
      <c r="K103" s="10" t="n">
        <f aca="false">1-(1-H103)/(1-Inputs!$B$50)</f>
        <v>0.102879213483146</v>
      </c>
    </row>
    <row r="104" customFormat="false" ht="15" hidden="false" customHeight="false" outlineLevel="0" collapsed="false">
      <c r="B104" s="10" t="n">
        <v>0.28</v>
      </c>
      <c r="D104" s="21" t="n">
        <f aca="false">Rate_Card!$I$36*Rate_Card!$K$36*(((1-$B104)/(1-Inputs!$B$6))+Rate_Card!$L$36*(1-((1-$B104)/(1-Inputs!$B$6))))+Rate_Card!$I$37*Rate_Card!$K$37*(((1-$B104)/(1-Inputs!$B$6))+Rate_Card!$L$37*(1-((1-$B104)/(1-Inputs!$B$6))))+Rate_Card!$I$38*Rate_Card!$K$38*(((1-$B104)/(1-Inputs!$B$6))+Rate_Card!$L$38*(1-((1-$B104)/(1-Inputs!$B$6))))+Rate_Card!$I$39*Rate_Card!$K$39*(((1-$B104)/(1-Inputs!$B$6))+Rate_Card!$L$39*(1-((1-$B104)/(1-Inputs!$B$6))))</f>
        <v>0.657204423372154</v>
      </c>
      <c r="E104" s="21" t="n">
        <f aca="false">Rate_Card!$I$36*Rate_Card!$K$36*(1-$B104)+Rate_Card!$I$37*Rate_Card!$K$37*(1-$B104)+Rate_Card!$I$38*Rate_Card!$K$38*(1-$B104)+Rate_Card!$I$39*Rate_Card!$K$39*(1-$B104)</f>
        <v>0.466801728525714</v>
      </c>
      <c r="F104" s="10" t="n">
        <f aca="false">1-E104/D104</f>
        <v>0.289716088442425</v>
      </c>
      <c r="G104" s="21" t="n">
        <f aca="false">D104-E104</f>
        <v>0.19040269484644</v>
      </c>
      <c r="H104" s="10" t="n">
        <f aca="false">MIN(1-(1-$B104)/(((1-$B104)/(1-Inputs!$B$6))+Rate_Card!$L$36*(1-((1-$B104)/(1-Inputs!$B$6)))),1-(1-$B104)/(((1-$B104)/(1-Inputs!$B$6))+Rate_Card!$L$37*(1-((1-$B104)/(1-Inputs!$B$6)))),1-(1-$B104)/(((1-$B104)/(1-Inputs!$B$6))+Rate_Card!$L$38*(1-((1-$B104)/(1-Inputs!$B$6)))),1-(1-$B104)/(((1-$B104)/(1-Inputs!$B$6))+Rate_Card!$L$39*(1-((1-$B104)/(1-Inputs!$B$6)))))</f>
        <v>0.288135593220339</v>
      </c>
      <c r="I104" s="16" t="n">
        <f aca="false">Forecast_12M!$N$11*D104/Rate_Card!$B$42</f>
        <v>1728951.87334319</v>
      </c>
      <c r="J104" s="16" t="n">
        <f aca="false">I104-Forecast_12M!$N$5*E104</f>
        <v>472124.706370853</v>
      </c>
      <c r="K104" s="10" t="n">
        <f aca="false">1-(1-H104)/(1-Inputs!$B$50)</f>
        <v>0.110169491525424</v>
      </c>
    </row>
    <row r="105" customFormat="false" ht="15" hidden="false" customHeight="false" outlineLevel="0" collapsed="false">
      <c r="B105" s="10" t="n">
        <v>0.29</v>
      </c>
      <c r="D105" s="21" t="n">
        <f aca="false">Rate_Card!$I$36*Rate_Card!$K$36*(((1-$B105)/(1-Inputs!$B$6))+Rate_Card!$L$36*(1-((1-$B105)/(1-Inputs!$B$6))))+Rate_Card!$I$37*Rate_Card!$K$37*(((1-$B105)/(1-Inputs!$B$6))+Rate_Card!$L$37*(1-((1-$B105)/(1-Inputs!$B$6))))+Rate_Card!$I$38*Rate_Card!$K$38*(((1-$B105)/(1-Inputs!$B$6))+Rate_Card!$L$38*(1-((1-$B105)/(1-Inputs!$B$6))))+Rate_Card!$I$39*Rate_Card!$K$39*(((1-$B105)/(1-Inputs!$B$6))+Rate_Card!$L$39*(1-((1-$B105)/(1-Inputs!$B$6))))</f>
        <v>0.652770078717823</v>
      </c>
      <c r="E105" s="21" t="n">
        <f aca="false">Rate_Card!$I$36*Rate_Card!$K$36*(1-$B105)+Rate_Card!$I$37*Rate_Card!$K$37*(1-$B105)+Rate_Card!$I$38*Rate_Card!$K$38*(1-$B105)+Rate_Card!$I$39*Rate_Card!$K$39*(1-$B105)</f>
        <v>0.460318371185079</v>
      </c>
      <c r="F105" s="10" t="n">
        <f aca="false">1-E105/D105</f>
        <v>0.294823114305054</v>
      </c>
      <c r="G105" s="21" t="n">
        <f aca="false">D105-E105</f>
        <v>0.192451707532744</v>
      </c>
      <c r="H105" s="10" t="n">
        <f aca="false">MIN(1-(1-$B105)/(((1-$B105)/(1-Inputs!$B$6))+Rate_Card!$L$36*(1-((1-$B105)/(1-Inputs!$B$6)))),1-(1-$B105)/(((1-$B105)/(1-Inputs!$B$6))+Rate_Card!$L$37*(1-((1-$B105)/(1-Inputs!$B$6)))),1-(1-$B105)/(((1-$B105)/(1-Inputs!$B$6))+Rate_Card!$L$38*(1-((1-$B105)/(1-Inputs!$B$6)))),1-(1-$B105)/(((1-$B105)/(1-Inputs!$B$6))+Rate_Card!$L$39*(1-((1-$B105)/(1-Inputs!$B$6)))))</f>
        <v>0.294034090909091</v>
      </c>
      <c r="I105" s="16" t="n">
        <f aca="false">Forecast_12M!$N$11*D105/Rate_Card!$B$42</f>
        <v>1717286.14465285</v>
      </c>
      <c r="J105" s="16" t="n">
        <f aca="false">I105-Forecast_12M!$N$5*E105</f>
        <v>477914.910555123</v>
      </c>
      <c r="K105" s="10" t="n">
        <f aca="false">1-(1-H105)/(1-Inputs!$B$50)</f>
        <v>0.117542613636364</v>
      </c>
    </row>
    <row r="106" customFormat="false" ht="15" hidden="false" customHeight="false" outlineLevel="0" collapsed="false">
      <c r="B106" s="10" t="n">
        <v>0.3</v>
      </c>
      <c r="D106" s="21" t="n">
        <f aca="false">Rate_Card!$I$36*Rate_Card!$K$36*(((1-$B106)/(1-Inputs!$B$6))+Rate_Card!$L$36*(1-((1-$B106)/(1-Inputs!$B$6))))+Rate_Card!$I$37*Rate_Card!$K$37*(((1-$B106)/(1-Inputs!$B$6))+Rate_Card!$L$37*(1-((1-$B106)/(1-Inputs!$B$6))))+Rate_Card!$I$38*Rate_Card!$K$38*(((1-$B106)/(1-Inputs!$B$6))+Rate_Card!$L$38*(1-((1-$B106)/(1-Inputs!$B$6))))+Rate_Card!$I$39*Rate_Card!$K$39*(((1-$B106)/(1-Inputs!$B$6))+Rate_Card!$L$39*(1-((1-$B106)/(1-Inputs!$B$6))))</f>
        <v>0.648335734063492</v>
      </c>
      <c r="E106" s="21" t="n">
        <f aca="false">Rate_Card!$I$36*Rate_Card!$K$36*(1-$B106)+Rate_Card!$I$37*Rate_Card!$K$37*(1-$B106)+Rate_Card!$I$38*Rate_Card!$K$38*(1-$B106)+Rate_Card!$I$39*Rate_Card!$K$39*(1-$B106)</f>
        <v>0.453835013844444</v>
      </c>
      <c r="F106" s="10" t="n">
        <f aca="false">1-E106/D106</f>
        <v>0.3</v>
      </c>
      <c r="G106" s="21" t="n">
        <f aca="false">D106-E106</f>
        <v>0.194500720219048</v>
      </c>
      <c r="H106" s="10" t="n">
        <f aca="false">MIN(1-(1-$B106)/(((1-$B106)/(1-Inputs!$B$6))+Rate_Card!$L$36*(1-((1-$B106)/(1-Inputs!$B$6)))),1-(1-$B106)/(((1-$B106)/(1-Inputs!$B$6))+Rate_Card!$L$37*(1-((1-$B106)/(1-Inputs!$B$6)))),1-(1-$B106)/(((1-$B106)/(1-Inputs!$B$6))+Rate_Card!$L$38*(1-((1-$B106)/(1-Inputs!$B$6)))),1-(1-$B106)/(((1-$B106)/(1-Inputs!$B$6))+Rate_Card!$L$39*(1-((1-$B106)/(1-Inputs!$B$6)))))</f>
        <v>0.3</v>
      </c>
      <c r="I106" s="16" t="n">
        <f aca="false">Forecast_12M!$N$11*D106/Rate_Card!$B$42</f>
        <v>1705620.4159625</v>
      </c>
      <c r="J106" s="16" t="n">
        <f aca="false">I106-Forecast_12M!$N$5*E106</f>
        <v>483705.114739392</v>
      </c>
      <c r="K106" s="10" t="n">
        <f aca="false">1-(1-H106)/(1-Inputs!$B$50)</f>
        <v>0.125</v>
      </c>
    </row>
    <row r="107" customFormat="false" ht="15" hidden="false" customHeight="false" outlineLevel="0" collapsed="false">
      <c r="B107" s="10" t="n">
        <v>0.31</v>
      </c>
      <c r="D107" s="21" t="n">
        <f aca="false">Rate_Card!$I$36*Rate_Card!$K$36*(((1-$B107)/(1-Inputs!$B$6))+Rate_Card!$L$36*(1-((1-$B107)/(1-Inputs!$B$6))))+Rate_Card!$I$37*Rate_Card!$K$37*(((1-$B107)/(1-Inputs!$B$6))+Rate_Card!$L$37*(1-((1-$B107)/(1-Inputs!$B$6))))+Rate_Card!$I$38*Rate_Card!$K$38*(((1-$B107)/(1-Inputs!$B$6))+Rate_Card!$L$38*(1-((1-$B107)/(1-Inputs!$B$6))))+Rate_Card!$I$39*Rate_Card!$K$39*(((1-$B107)/(1-Inputs!$B$6))+Rate_Card!$L$39*(1-((1-$B107)/(1-Inputs!$B$6))))</f>
        <v>0.643901389409161</v>
      </c>
      <c r="E107" s="21" t="n">
        <f aca="false">Rate_Card!$I$36*Rate_Card!$K$36*(1-$B107)+Rate_Card!$I$37*Rate_Card!$K$37*(1-$B107)+Rate_Card!$I$38*Rate_Card!$K$38*(1-$B107)+Rate_Card!$I$39*Rate_Card!$K$39*(1-$B107)</f>
        <v>0.44735165650381</v>
      </c>
      <c r="F107" s="10" t="n">
        <f aca="false">1-E107/D107</f>
        <v>0.30524818883479</v>
      </c>
      <c r="G107" s="21" t="n">
        <f aca="false">D107-E107</f>
        <v>0.196549732905352</v>
      </c>
      <c r="H107" s="10" t="n">
        <f aca="false">MIN(1-(1-$B107)/(((1-$B107)/(1-Inputs!$B$6))+Rate_Card!$L$36*(1-((1-$B107)/(1-Inputs!$B$6)))),1-(1-$B107)/(((1-$B107)/(1-Inputs!$B$6))+Rate_Card!$L$37*(1-((1-$B107)/(1-Inputs!$B$6)))),1-(1-$B107)/(((1-$B107)/(1-Inputs!$B$6))+Rate_Card!$L$38*(1-((1-$B107)/(1-Inputs!$B$6)))),1-(1-$B107)/(((1-$B107)/(1-Inputs!$B$6))+Rate_Card!$L$39*(1-((1-$B107)/(1-Inputs!$B$6)))))</f>
        <v>0.304034582132565</v>
      </c>
      <c r="I107" s="16" t="n">
        <f aca="false">Forecast_12M!$N$11*D107/Rate_Card!$B$42</f>
        <v>1693954.68727215</v>
      </c>
      <c r="J107" s="16" t="n">
        <f aca="false">I107-Forecast_12M!$N$5*E107</f>
        <v>489495.318923662</v>
      </c>
      <c r="K107" s="10" t="n">
        <f aca="false">1-(1-H107)/(1-Inputs!$B$50)</f>
        <v>0.130043227665706</v>
      </c>
    </row>
    <row r="108" customFormat="false" ht="15" hidden="false" customHeight="false" outlineLevel="0" collapsed="false">
      <c r="B108" s="10" t="n">
        <v>0.32</v>
      </c>
      <c r="D108" s="21" t="n">
        <f aca="false">Rate_Card!$I$36*Rate_Card!$K$36*(((1-$B108)/(1-Inputs!$B$6))+Rate_Card!$L$36*(1-((1-$B108)/(1-Inputs!$B$6))))+Rate_Card!$I$37*Rate_Card!$K$37*(((1-$B108)/(1-Inputs!$B$6))+Rate_Card!$L$37*(1-((1-$B108)/(1-Inputs!$B$6))))+Rate_Card!$I$38*Rate_Card!$K$38*(((1-$B108)/(1-Inputs!$B$6))+Rate_Card!$L$38*(1-((1-$B108)/(1-Inputs!$B$6))))+Rate_Card!$I$39*Rate_Card!$K$39*(((1-$B108)/(1-Inputs!$B$6))+Rate_Card!$L$39*(1-((1-$B108)/(1-Inputs!$B$6))))</f>
        <v>0.63946704475483</v>
      </c>
      <c r="E108" s="21" t="n">
        <f aca="false">Rate_Card!$I$36*Rate_Card!$K$36*(1-$B108)+Rate_Card!$I$37*Rate_Card!$K$37*(1-$B108)+Rate_Card!$I$38*Rate_Card!$K$38*(1-$B108)+Rate_Card!$I$39*Rate_Card!$K$39*(1-$B108)</f>
        <v>0.440868299163175</v>
      </c>
      <c r="F108" s="10" t="n">
        <f aca="false">1-E108/D108</f>
        <v>0.310569164151059</v>
      </c>
      <c r="G108" s="21" t="n">
        <f aca="false">D108-E108</f>
        <v>0.198598745591655</v>
      </c>
      <c r="H108" s="10" t="n">
        <f aca="false">MIN(1-(1-$B108)/(((1-$B108)/(1-Inputs!$B$6))+Rate_Card!$L$36*(1-((1-$B108)/(1-Inputs!$B$6)))),1-(1-$B108)/(((1-$B108)/(1-Inputs!$B$6))+Rate_Card!$L$37*(1-((1-$B108)/(1-Inputs!$B$6)))),1-(1-$B108)/(((1-$B108)/(1-Inputs!$B$6))+Rate_Card!$L$38*(1-((1-$B108)/(1-Inputs!$B$6)))),1-(1-$B108)/(((1-$B108)/(1-Inputs!$B$6))+Rate_Card!$L$39*(1-((1-$B108)/(1-Inputs!$B$6)))))</f>
        <v>0.308139534883721</v>
      </c>
      <c r="I108" s="16" t="n">
        <f aca="false">Forecast_12M!$N$11*D108/Rate_Card!$B$42</f>
        <v>1682288.95858181</v>
      </c>
      <c r="J108" s="16" t="n">
        <f aca="false">I108-Forecast_12M!$N$5*E108</f>
        <v>495285.523107932</v>
      </c>
      <c r="K108" s="10" t="n">
        <f aca="false">1-(1-H108)/(1-Inputs!$B$50)</f>
        <v>0.135174418604651</v>
      </c>
    </row>
    <row r="109" customFormat="false" ht="15" hidden="false" customHeight="false" outlineLevel="0" collapsed="false">
      <c r="B109" s="10" t="n">
        <v>0.33</v>
      </c>
      <c r="D109" s="21" t="n">
        <f aca="false">Rate_Card!$I$36*Rate_Card!$K$36*(((1-$B109)/(1-Inputs!$B$6))+Rate_Card!$L$36*(1-((1-$B109)/(1-Inputs!$B$6))))+Rate_Card!$I$37*Rate_Card!$K$37*(((1-$B109)/(1-Inputs!$B$6))+Rate_Card!$L$37*(1-((1-$B109)/(1-Inputs!$B$6))))+Rate_Card!$I$38*Rate_Card!$K$38*(((1-$B109)/(1-Inputs!$B$6))+Rate_Card!$L$38*(1-((1-$B109)/(1-Inputs!$B$6))))+Rate_Card!$I$39*Rate_Card!$K$39*(((1-$B109)/(1-Inputs!$B$6))+Rate_Card!$L$39*(1-((1-$B109)/(1-Inputs!$B$6))))</f>
        <v>0.635032700100499</v>
      </c>
      <c r="E109" s="21" t="n">
        <f aca="false">Rate_Card!$I$36*Rate_Card!$K$36*(1-$B109)+Rate_Card!$I$37*Rate_Card!$K$37*(1-$B109)+Rate_Card!$I$38*Rate_Card!$K$38*(1-$B109)+Rate_Card!$I$39*Rate_Card!$K$39*(1-$B109)</f>
        <v>0.43438494182254</v>
      </c>
      <c r="F109" s="10" t="n">
        <f aca="false">1-E109/D109</f>
        <v>0.31596445072231</v>
      </c>
      <c r="G109" s="21" t="n">
        <f aca="false">D109-E109</f>
        <v>0.200647758277959</v>
      </c>
      <c r="H109" s="10" t="n">
        <f aca="false">MIN(1-(1-$B109)/(((1-$B109)/(1-Inputs!$B$6))+Rate_Card!$L$36*(1-((1-$B109)/(1-Inputs!$B$6)))),1-(1-$B109)/(((1-$B109)/(1-Inputs!$B$6))+Rate_Card!$L$37*(1-((1-$B109)/(1-Inputs!$B$6)))),1-(1-$B109)/(((1-$B109)/(1-Inputs!$B$6))+Rate_Card!$L$38*(1-((1-$B109)/(1-Inputs!$B$6)))),1-(1-$B109)/(((1-$B109)/(1-Inputs!$B$6))+Rate_Card!$L$39*(1-((1-$B109)/(1-Inputs!$B$6)))))</f>
        <v>0.312316715542522</v>
      </c>
      <c r="I109" s="16" t="n">
        <f aca="false">Forecast_12M!$N$11*D109/Rate_Card!$B$42</f>
        <v>1670623.22989146</v>
      </c>
      <c r="J109" s="16" t="n">
        <f aca="false">I109-Forecast_12M!$N$5*E109</f>
        <v>501075.727292201</v>
      </c>
      <c r="K109" s="10" t="n">
        <f aca="false">1-(1-H109)/(1-Inputs!$B$50)</f>
        <v>0.140395894428153</v>
      </c>
    </row>
    <row r="110" customFormat="false" ht="15" hidden="false" customHeight="false" outlineLevel="0" collapsed="false">
      <c r="B110" s="10" t="n">
        <v>0.34</v>
      </c>
      <c r="D110" s="21" t="n">
        <f aca="false">Rate_Card!$I$36*Rate_Card!$K$36*(((1-$B110)/(1-Inputs!$B$6))+Rate_Card!$L$36*(1-((1-$B110)/(1-Inputs!$B$6))))+Rate_Card!$I$37*Rate_Card!$K$37*(((1-$B110)/(1-Inputs!$B$6))+Rate_Card!$L$37*(1-((1-$B110)/(1-Inputs!$B$6))))+Rate_Card!$I$38*Rate_Card!$K$38*(((1-$B110)/(1-Inputs!$B$6))+Rate_Card!$L$38*(1-((1-$B110)/(1-Inputs!$B$6))))+Rate_Card!$I$39*Rate_Card!$K$39*(((1-$B110)/(1-Inputs!$B$6))+Rate_Card!$L$39*(1-((1-$B110)/(1-Inputs!$B$6))))</f>
        <v>0.630598355446168</v>
      </c>
      <c r="E110" s="21" t="n">
        <f aca="false">Rate_Card!$I$36*Rate_Card!$K$36*(1-$B110)+Rate_Card!$I$37*Rate_Card!$K$37*(1-$B110)+Rate_Card!$I$38*Rate_Card!$K$38*(1-$B110)+Rate_Card!$I$39*Rate_Card!$K$39*(1-$B110)</f>
        <v>0.427901584481905</v>
      </c>
      <c r="F110" s="10" t="n">
        <f aca="false">1-E110/D110</f>
        <v>0.321435616210653</v>
      </c>
      <c r="G110" s="21" t="n">
        <f aca="false">D110-E110</f>
        <v>0.202696770964263</v>
      </c>
      <c r="H110" s="10" t="n">
        <f aca="false">MIN(1-(1-$B110)/(((1-$B110)/(1-Inputs!$B$6))+Rate_Card!$L$36*(1-((1-$B110)/(1-Inputs!$B$6)))),1-(1-$B110)/(((1-$B110)/(1-Inputs!$B$6))+Rate_Card!$L$37*(1-((1-$B110)/(1-Inputs!$B$6)))),1-(1-$B110)/(((1-$B110)/(1-Inputs!$B$6))+Rate_Card!$L$38*(1-((1-$B110)/(1-Inputs!$B$6)))),1-(1-$B110)/(((1-$B110)/(1-Inputs!$B$6))+Rate_Card!$L$39*(1-((1-$B110)/(1-Inputs!$B$6)))))</f>
        <v>0.316568047337278</v>
      </c>
      <c r="I110" s="16" t="n">
        <f aca="false">Forecast_12M!$N$11*D110/Rate_Card!$B$42</f>
        <v>1658957.50120111</v>
      </c>
      <c r="J110" s="16" t="n">
        <f aca="false">I110-Forecast_12M!$N$5*E110</f>
        <v>506865.93147647</v>
      </c>
      <c r="K110" s="10" t="n">
        <f aca="false">1-(1-H110)/(1-Inputs!$B$50)</f>
        <v>0.145710059171598</v>
      </c>
    </row>
    <row r="111" customFormat="false" ht="15" hidden="false" customHeight="false" outlineLevel="0" collapsed="false">
      <c r="B111" s="10" t="n">
        <v>0.35</v>
      </c>
      <c r="D111" s="21" t="n">
        <f aca="false">Rate_Card!$I$36*Rate_Card!$K$36*(((1-$B111)/(1-Inputs!$B$6))+Rate_Card!$L$36*(1-((1-$B111)/(1-Inputs!$B$6))))+Rate_Card!$I$37*Rate_Card!$K$37*(((1-$B111)/(1-Inputs!$B$6))+Rate_Card!$L$37*(1-((1-$B111)/(1-Inputs!$B$6))))+Rate_Card!$I$38*Rate_Card!$K$38*(((1-$B111)/(1-Inputs!$B$6))+Rate_Card!$L$38*(1-((1-$B111)/(1-Inputs!$B$6))))+Rate_Card!$I$39*Rate_Card!$K$39*(((1-$B111)/(1-Inputs!$B$6))+Rate_Card!$L$39*(1-((1-$B111)/(1-Inputs!$B$6))))</f>
        <v>0.626164010791837</v>
      </c>
      <c r="E111" s="21" t="n">
        <f aca="false">Rate_Card!$I$36*Rate_Card!$K$36*(1-$B111)+Rate_Card!$I$37*Rate_Card!$K$37*(1-$B111)+Rate_Card!$I$38*Rate_Card!$K$38*(1-$B111)+Rate_Card!$I$39*Rate_Card!$K$39*(1-$B111)</f>
        <v>0.42141822714127</v>
      </c>
      <c r="F111" s="10" t="n">
        <f aca="false">1-E111/D111</f>
        <v>0.326984272685441</v>
      </c>
      <c r="G111" s="21" t="n">
        <f aca="false">D111-E111</f>
        <v>0.204745783650567</v>
      </c>
      <c r="H111" s="10" t="n">
        <f aca="false">MIN(1-(1-$B111)/(((1-$B111)/(1-Inputs!$B$6))+Rate_Card!$L$36*(1-((1-$B111)/(1-Inputs!$B$6)))),1-(1-$B111)/(((1-$B111)/(1-Inputs!$B$6))+Rate_Card!$L$37*(1-((1-$B111)/(1-Inputs!$B$6)))),1-(1-$B111)/(((1-$B111)/(1-Inputs!$B$6))+Rate_Card!$L$38*(1-((1-$B111)/(1-Inputs!$B$6)))),1-(1-$B111)/(((1-$B111)/(1-Inputs!$B$6))+Rate_Card!$L$39*(1-((1-$B111)/(1-Inputs!$B$6)))))</f>
        <v>0.32089552238806</v>
      </c>
      <c r="I111" s="16" t="n">
        <f aca="false">Forecast_12M!$N$11*D111/Rate_Card!$B$42</f>
        <v>1647291.77251077</v>
      </c>
      <c r="J111" s="16" t="n">
        <f aca="false">I111-Forecast_12M!$N$5*E111</f>
        <v>512656.13566074</v>
      </c>
      <c r="K111" s="10" t="n">
        <f aca="false">1-(1-H111)/(1-Inputs!$B$50)</f>
        <v>0.151119402985075</v>
      </c>
    </row>
    <row r="112" customFormat="false" ht="15" hidden="false" customHeight="false" outlineLevel="0" collapsed="false">
      <c r="B112" s="10" t="n">
        <v>0.36</v>
      </c>
      <c r="D112" s="21" t="n">
        <f aca="false">Rate_Card!$I$36*Rate_Card!$K$36*(((1-$B112)/(1-Inputs!$B$6))+Rate_Card!$L$36*(1-((1-$B112)/(1-Inputs!$B$6))))+Rate_Card!$I$37*Rate_Card!$K$37*(((1-$B112)/(1-Inputs!$B$6))+Rate_Card!$L$37*(1-((1-$B112)/(1-Inputs!$B$6))))+Rate_Card!$I$38*Rate_Card!$K$38*(((1-$B112)/(1-Inputs!$B$6))+Rate_Card!$L$38*(1-((1-$B112)/(1-Inputs!$B$6))))+Rate_Card!$I$39*Rate_Card!$K$39*(((1-$B112)/(1-Inputs!$B$6))+Rate_Card!$L$39*(1-((1-$B112)/(1-Inputs!$B$6))))</f>
        <v>0.621729666137506</v>
      </c>
      <c r="E112" s="21" t="n">
        <f aca="false">Rate_Card!$I$36*Rate_Card!$K$36*(1-$B112)+Rate_Card!$I$37*Rate_Card!$K$37*(1-$B112)+Rate_Card!$I$38*Rate_Card!$K$38*(1-$B112)+Rate_Card!$I$39*Rate_Card!$K$39*(1-$B112)</f>
        <v>0.414934869800635</v>
      </c>
      <c r="F112" s="10" t="n">
        <f aca="false">1-E112/D112</f>
        <v>0.332612078206889</v>
      </c>
      <c r="G112" s="21" t="n">
        <f aca="false">D112-E112</f>
        <v>0.206794796336871</v>
      </c>
      <c r="H112" s="10" t="n">
        <f aca="false">MIN(1-(1-$B112)/(((1-$B112)/(1-Inputs!$B$6))+Rate_Card!$L$36*(1-((1-$B112)/(1-Inputs!$B$6)))),1-(1-$B112)/(((1-$B112)/(1-Inputs!$B$6))+Rate_Card!$L$37*(1-((1-$B112)/(1-Inputs!$B$6)))),1-(1-$B112)/(((1-$B112)/(1-Inputs!$B$6))+Rate_Card!$L$38*(1-((1-$B112)/(1-Inputs!$B$6)))),1-(1-$B112)/(((1-$B112)/(1-Inputs!$B$6))+Rate_Card!$L$39*(1-((1-$B112)/(1-Inputs!$B$6)))))</f>
        <v>0.325301204819277</v>
      </c>
      <c r="I112" s="16" t="n">
        <f aca="false">Forecast_12M!$N$11*D112/Rate_Card!$B$42</f>
        <v>1635626.04382042</v>
      </c>
      <c r="J112" s="16" t="n">
        <f aca="false">I112-Forecast_12M!$N$5*E112</f>
        <v>518446.339845009</v>
      </c>
      <c r="K112" s="10" t="n">
        <f aca="false">1-(1-H112)/(1-Inputs!$B$50)</f>
        <v>0.156626506024096</v>
      </c>
    </row>
    <row r="113" customFormat="false" ht="15" hidden="false" customHeight="false" outlineLevel="0" collapsed="false">
      <c r="B113" s="10" t="n">
        <v>0.37</v>
      </c>
      <c r="D113" s="21" t="n">
        <f aca="false">Rate_Card!$I$36*Rate_Card!$K$36*(((1-$B113)/(1-Inputs!$B$6))+Rate_Card!$L$36*(1-((1-$B113)/(1-Inputs!$B$6))))+Rate_Card!$I$37*Rate_Card!$K$37*(((1-$B113)/(1-Inputs!$B$6))+Rate_Card!$L$37*(1-((1-$B113)/(1-Inputs!$B$6))))+Rate_Card!$I$38*Rate_Card!$K$38*(((1-$B113)/(1-Inputs!$B$6))+Rate_Card!$L$38*(1-((1-$B113)/(1-Inputs!$B$6))))+Rate_Card!$I$39*Rate_Card!$K$39*(((1-$B113)/(1-Inputs!$B$6))+Rate_Card!$L$39*(1-((1-$B113)/(1-Inputs!$B$6))))</f>
        <v>0.617295321483175</v>
      </c>
      <c r="E113" s="21" t="n">
        <f aca="false">Rate_Card!$I$36*Rate_Card!$K$36*(1-$B113)+Rate_Card!$I$37*Rate_Card!$K$37*(1-$B113)+Rate_Card!$I$38*Rate_Card!$K$38*(1-$B113)+Rate_Card!$I$39*Rate_Card!$K$39*(1-$B113)</f>
        <v>0.40845151246</v>
      </c>
      <c r="F113" s="10" t="n">
        <f aca="false">1-E113/D113</f>
        <v>0.338320738477956</v>
      </c>
      <c r="G113" s="21" t="n">
        <f aca="false">D113-E113</f>
        <v>0.208843809023175</v>
      </c>
      <c r="H113" s="10" t="n">
        <f aca="false">MIN(1-(1-$B113)/(((1-$B113)/(1-Inputs!$B$6))+Rate_Card!$L$36*(1-((1-$B113)/(1-Inputs!$B$6)))),1-(1-$B113)/(((1-$B113)/(1-Inputs!$B$6))+Rate_Card!$L$37*(1-((1-$B113)/(1-Inputs!$B$6)))),1-(1-$B113)/(((1-$B113)/(1-Inputs!$B$6))+Rate_Card!$L$38*(1-((1-$B113)/(1-Inputs!$B$6)))),1-(1-$B113)/(((1-$B113)/(1-Inputs!$B$6))+Rate_Card!$L$39*(1-((1-$B113)/(1-Inputs!$B$6)))))</f>
        <v>0.329787234042553</v>
      </c>
      <c r="I113" s="16" t="n">
        <f aca="false">Forecast_12M!$N$11*D113/Rate_Card!$B$42</f>
        <v>1623960.31513007</v>
      </c>
      <c r="J113" s="16" t="n">
        <f aca="false">I113-Forecast_12M!$N$5*E113</f>
        <v>524236.544029279</v>
      </c>
      <c r="K113" s="10" t="n">
        <f aca="false">1-(1-H113)/(1-Inputs!$B$50)</f>
        <v>0.162234042553192</v>
      </c>
    </row>
    <row r="114" customFormat="false" ht="15" hidden="false" customHeight="false" outlineLevel="0" collapsed="false">
      <c r="B114" s="10" t="n">
        <v>0.38</v>
      </c>
      <c r="D114" s="21" t="n">
        <f aca="false">Rate_Card!$I$36*Rate_Card!$K$36*(((1-$B114)/(1-Inputs!$B$6))+Rate_Card!$L$36*(1-((1-$B114)/(1-Inputs!$B$6))))+Rate_Card!$I$37*Rate_Card!$K$37*(((1-$B114)/(1-Inputs!$B$6))+Rate_Card!$L$37*(1-((1-$B114)/(1-Inputs!$B$6))))+Rate_Card!$I$38*Rate_Card!$K$38*(((1-$B114)/(1-Inputs!$B$6))+Rate_Card!$L$38*(1-((1-$B114)/(1-Inputs!$B$6))))+Rate_Card!$I$39*Rate_Card!$K$39*(((1-$B114)/(1-Inputs!$B$6))+Rate_Card!$L$39*(1-((1-$B114)/(1-Inputs!$B$6))))</f>
        <v>0.612860976828844</v>
      </c>
      <c r="E114" s="21" t="n">
        <f aca="false">Rate_Card!$I$36*Rate_Card!$K$36*(1-$B114)+Rate_Card!$I$37*Rate_Card!$K$37*(1-$B114)+Rate_Card!$I$38*Rate_Card!$K$38*(1-$B114)+Rate_Card!$I$39*Rate_Card!$K$39*(1-$B114)</f>
        <v>0.401968155119365</v>
      </c>
      <c r="F114" s="10" t="n">
        <f aca="false">1-E114/D114</f>
        <v>0.344112008567932</v>
      </c>
      <c r="G114" s="21" t="n">
        <f aca="false">D114-E114</f>
        <v>0.210892821709478</v>
      </c>
      <c r="H114" s="10" t="n">
        <f aca="false">MIN(1-(1-$B114)/(((1-$B114)/(1-Inputs!$B$6))+Rate_Card!$L$36*(1-((1-$B114)/(1-Inputs!$B$6)))),1-(1-$B114)/(((1-$B114)/(1-Inputs!$B$6))+Rate_Card!$L$37*(1-((1-$B114)/(1-Inputs!$B$6)))),1-(1-$B114)/(((1-$B114)/(1-Inputs!$B$6))+Rate_Card!$L$38*(1-((1-$B114)/(1-Inputs!$B$6)))),1-(1-$B114)/(((1-$B114)/(1-Inputs!$B$6))+Rate_Card!$L$39*(1-((1-$B114)/(1-Inputs!$B$6)))))</f>
        <v>0.334355828220859</v>
      </c>
      <c r="I114" s="16" t="n">
        <f aca="false">Forecast_12M!$N$11*D114/Rate_Card!$B$42</f>
        <v>1612294.58643973</v>
      </c>
      <c r="J114" s="16" t="n">
        <f aca="false">I114-Forecast_12M!$N$5*E114</f>
        <v>530026.748213548</v>
      </c>
      <c r="K114" s="10" t="n">
        <f aca="false">1-(1-H114)/(1-Inputs!$B$50)</f>
        <v>0.167944785276074</v>
      </c>
    </row>
    <row r="115" customFormat="false" ht="15" hidden="false" customHeight="false" outlineLevel="0" collapsed="false">
      <c r="B115" s="10" t="n">
        <v>0.39</v>
      </c>
      <c r="D115" s="21" t="n">
        <f aca="false">Rate_Card!$I$36*Rate_Card!$K$36*(((1-$B115)/(1-Inputs!$B$6))+Rate_Card!$L$36*(1-((1-$B115)/(1-Inputs!$B$6))))+Rate_Card!$I$37*Rate_Card!$K$37*(((1-$B115)/(1-Inputs!$B$6))+Rate_Card!$L$37*(1-((1-$B115)/(1-Inputs!$B$6))))+Rate_Card!$I$38*Rate_Card!$K$38*(((1-$B115)/(1-Inputs!$B$6))+Rate_Card!$L$38*(1-((1-$B115)/(1-Inputs!$B$6))))+Rate_Card!$I$39*Rate_Card!$K$39*(((1-$B115)/(1-Inputs!$B$6))+Rate_Card!$L$39*(1-((1-$B115)/(1-Inputs!$B$6))))</f>
        <v>0.608426632174513</v>
      </c>
      <c r="E115" s="21" t="n">
        <f aca="false">Rate_Card!$I$36*Rate_Card!$K$36*(1-$B115)+Rate_Card!$I$37*Rate_Card!$K$37*(1-$B115)+Rate_Card!$I$38*Rate_Card!$K$38*(1-$B115)+Rate_Card!$I$39*Rate_Card!$K$39*(1-$B115)</f>
        <v>0.39548479777873</v>
      </c>
      <c r="F115" s="10" t="n">
        <f aca="false">1-E115/D115</f>
        <v>0.349987694711406</v>
      </c>
      <c r="G115" s="21" t="n">
        <f aca="false">D115-E115</f>
        <v>0.212941834395782</v>
      </c>
      <c r="H115" s="10" t="n">
        <f aca="false">MIN(1-(1-$B115)/(((1-$B115)/(1-Inputs!$B$6))+Rate_Card!$L$36*(1-((1-$B115)/(1-Inputs!$B$6)))),1-(1-$B115)/(((1-$B115)/(1-Inputs!$B$6))+Rate_Card!$L$37*(1-((1-$B115)/(1-Inputs!$B$6)))),1-(1-$B115)/(((1-$B115)/(1-Inputs!$B$6))+Rate_Card!$L$38*(1-((1-$B115)/(1-Inputs!$B$6)))),1-(1-$B115)/(((1-$B115)/(1-Inputs!$B$6))+Rate_Card!$L$39*(1-((1-$B115)/(1-Inputs!$B$6)))))</f>
        <v>0.339009287925697</v>
      </c>
      <c r="I115" s="16" t="n">
        <f aca="false">Forecast_12M!$N$11*D115/Rate_Card!$B$42</f>
        <v>1600628.85774938</v>
      </c>
      <c r="J115" s="16" t="n">
        <f aca="false">I115-Forecast_12M!$N$5*E115</f>
        <v>535816.952397818</v>
      </c>
      <c r="K115" s="10" t="n">
        <f aca="false">1-(1-H115)/(1-Inputs!$B$50)</f>
        <v>0.173761609907121</v>
      </c>
    </row>
    <row r="116" customFormat="false" ht="15" hidden="false" customHeight="false" outlineLevel="0" collapsed="false">
      <c r="B116" s="10" t="n">
        <v>0.4</v>
      </c>
      <c r="D116" s="21" t="n">
        <f aca="false">Rate_Card!$I$36*Rate_Card!$K$36*(((1-$B116)/(1-Inputs!$B$6))+Rate_Card!$L$36*(1-((1-$B116)/(1-Inputs!$B$6))))+Rate_Card!$I$37*Rate_Card!$K$37*(((1-$B116)/(1-Inputs!$B$6))+Rate_Card!$L$37*(1-((1-$B116)/(1-Inputs!$B$6))))+Rate_Card!$I$38*Rate_Card!$K$38*(((1-$B116)/(1-Inputs!$B$6))+Rate_Card!$L$38*(1-((1-$B116)/(1-Inputs!$B$6))))+Rate_Card!$I$39*Rate_Card!$K$39*(((1-$B116)/(1-Inputs!$B$6))+Rate_Card!$L$39*(1-((1-$B116)/(1-Inputs!$B$6))))</f>
        <v>0.603992287520181</v>
      </c>
      <c r="E116" s="21" t="n">
        <f aca="false">Rate_Card!$I$36*Rate_Card!$K$36*(1-$B116)+Rate_Card!$I$37*Rate_Card!$K$37*(1-$B116)+Rate_Card!$I$38*Rate_Card!$K$38*(1-$B116)+Rate_Card!$I$39*Rate_Card!$K$39*(1-$B116)</f>
        <v>0.389001440438095</v>
      </c>
      <c r="F116" s="10" t="n">
        <f aca="false">1-E116/D116</f>
        <v>0.355949656186467</v>
      </c>
      <c r="G116" s="21" t="n">
        <f aca="false">D116-E116</f>
        <v>0.214990847082086</v>
      </c>
      <c r="H116" s="10" t="n">
        <f aca="false">MIN(1-(1-$B116)/(((1-$B116)/(1-Inputs!$B$6))+Rate_Card!$L$36*(1-((1-$B116)/(1-Inputs!$B$6)))),1-(1-$B116)/(((1-$B116)/(1-Inputs!$B$6))+Rate_Card!$L$37*(1-((1-$B116)/(1-Inputs!$B$6)))),1-(1-$B116)/(((1-$B116)/(1-Inputs!$B$6))+Rate_Card!$L$38*(1-((1-$B116)/(1-Inputs!$B$6)))),1-(1-$B116)/(((1-$B116)/(1-Inputs!$B$6))+Rate_Card!$L$39*(1-((1-$B116)/(1-Inputs!$B$6)))))</f>
        <v>0.34375</v>
      </c>
      <c r="I116" s="16" t="n">
        <f aca="false">Forecast_12M!$N$11*D116/Rate_Card!$B$42</f>
        <v>1588963.12905904</v>
      </c>
      <c r="J116" s="16" t="n">
        <f aca="false">I116-Forecast_12M!$N$5*E116</f>
        <v>541607.156582087</v>
      </c>
      <c r="K116" s="10" t="n">
        <f aca="false">1-(1-H116)/(1-Inputs!$B$50)</f>
        <v>0.1796875</v>
      </c>
    </row>
    <row r="117" customFormat="false" ht="15" hidden="false" customHeight="false" outlineLevel="0" collapsed="false">
      <c r="B117" s="10" t="n">
        <v>0.41</v>
      </c>
      <c r="D117" s="21" t="n">
        <f aca="false">Rate_Card!$I$36*Rate_Card!$K$36*(((1-$B117)/(1-Inputs!$B$6))+Rate_Card!$L$36*(1-((1-$B117)/(1-Inputs!$B$6))))+Rate_Card!$I$37*Rate_Card!$K$37*(((1-$B117)/(1-Inputs!$B$6))+Rate_Card!$L$37*(1-((1-$B117)/(1-Inputs!$B$6))))+Rate_Card!$I$38*Rate_Card!$K$38*(((1-$B117)/(1-Inputs!$B$6))+Rate_Card!$L$38*(1-((1-$B117)/(1-Inputs!$B$6))))+Rate_Card!$I$39*Rate_Card!$K$39*(((1-$B117)/(1-Inputs!$B$6))+Rate_Card!$L$39*(1-((1-$B117)/(1-Inputs!$B$6))))</f>
        <v>0.59955794286585</v>
      </c>
      <c r="E117" s="21" t="n">
        <f aca="false">Rate_Card!$I$36*Rate_Card!$K$36*(1-$B117)+Rate_Card!$I$37*Rate_Card!$K$37*(1-$B117)+Rate_Card!$I$38*Rate_Card!$K$38*(1-$B117)+Rate_Card!$I$39*Rate_Card!$K$39*(1-$B117)</f>
        <v>0.38251808309746</v>
      </c>
      <c r="F117" s="10" t="n">
        <f aca="false">1-E117/D117</f>
        <v>0.361999807276262</v>
      </c>
      <c r="G117" s="21" t="n">
        <f aca="false">D117-E117</f>
        <v>0.21703985976839</v>
      </c>
      <c r="H117" s="10" t="n">
        <f aca="false">MIN(1-(1-$B117)/(((1-$B117)/(1-Inputs!$B$6))+Rate_Card!$L$36*(1-((1-$B117)/(1-Inputs!$B$6)))),1-(1-$B117)/(((1-$B117)/(1-Inputs!$B$6))+Rate_Card!$L$37*(1-((1-$B117)/(1-Inputs!$B$6)))),1-(1-$B117)/(((1-$B117)/(1-Inputs!$B$6))+Rate_Card!$L$38*(1-((1-$B117)/(1-Inputs!$B$6)))),1-(1-$B117)/(((1-$B117)/(1-Inputs!$B$6))+Rate_Card!$L$39*(1-((1-$B117)/(1-Inputs!$B$6)))))</f>
        <v>0.348580441640379</v>
      </c>
      <c r="I117" s="16" t="n">
        <f aca="false">Forecast_12M!$N$11*D117/Rate_Card!$B$42</f>
        <v>1577297.40036869</v>
      </c>
      <c r="J117" s="16" t="n">
        <f aca="false">I117-Forecast_12M!$N$5*E117</f>
        <v>547397.360766357</v>
      </c>
      <c r="K117" s="10" t="n">
        <f aca="false">1-(1-H117)/(1-Inputs!$B$50)</f>
        <v>0.185725552050473</v>
      </c>
    </row>
    <row r="118" customFormat="false" ht="15" hidden="false" customHeight="false" outlineLevel="0" collapsed="false">
      <c r="B118" s="10" t="n">
        <v>0.42</v>
      </c>
      <c r="D118" s="21" t="n">
        <f aca="false">Rate_Card!$I$36*Rate_Card!$K$36*(((1-$B118)/(1-Inputs!$B$6))+Rate_Card!$L$36*(1-((1-$B118)/(1-Inputs!$B$6))))+Rate_Card!$I$37*Rate_Card!$K$37*(((1-$B118)/(1-Inputs!$B$6))+Rate_Card!$L$37*(1-((1-$B118)/(1-Inputs!$B$6))))+Rate_Card!$I$38*Rate_Card!$K$38*(((1-$B118)/(1-Inputs!$B$6))+Rate_Card!$L$38*(1-((1-$B118)/(1-Inputs!$B$6))))+Rate_Card!$I$39*Rate_Card!$K$39*(((1-$B118)/(1-Inputs!$B$6))+Rate_Card!$L$39*(1-((1-$B118)/(1-Inputs!$B$6))))</f>
        <v>0.595123598211519</v>
      </c>
      <c r="E118" s="21" t="n">
        <f aca="false">Rate_Card!$I$36*Rate_Card!$K$36*(1-$B118)+Rate_Card!$I$37*Rate_Card!$K$37*(1-$B118)+Rate_Card!$I$38*Rate_Card!$K$38*(1-$B118)+Rate_Card!$I$39*Rate_Card!$K$39*(1-$B118)</f>
        <v>0.376034725756825</v>
      </c>
      <c r="F118" s="10" t="n">
        <f aca="false">1-E118/D118</f>
        <v>0.368140119318248</v>
      </c>
      <c r="G118" s="21" t="n">
        <f aca="false">D118-E118</f>
        <v>0.219088872454694</v>
      </c>
      <c r="H118" s="10" t="n">
        <f aca="false">MIN(1-(1-$B118)/(((1-$B118)/(1-Inputs!$B$6))+Rate_Card!$L$36*(1-((1-$B118)/(1-Inputs!$B$6)))),1-(1-$B118)/(((1-$B118)/(1-Inputs!$B$6))+Rate_Card!$L$37*(1-((1-$B118)/(1-Inputs!$B$6)))),1-(1-$B118)/(((1-$B118)/(1-Inputs!$B$6))+Rate_Card!$L$38*(1-((1-$B118)/(1-Inputs!$B$6)))),1-(1-$B118)/(((1-$B118)/(1-Inputs!$B$6))+Rate_Card!$L$39*(1-((1-$B118)/(1-Inputs!$B$6)))))</f>
        <v>0.353503184713376</v>
      </c>
      <c r="I118" s="16" t="n">
        <f aca="false">Forecast_12M!$N$11*D118/Rate_Card!$B$42</f>
        <v>1565631.67167834</v>
      </c>
      <c r="J118" s="16" t="n">
        <f aca="false">I118-Forecast_12M!$N$5*E118</f>
        <v>553187.564950626</v>
      </c>
      <c r="K118" s="10" t="n">
        <f aca="false">1-(1-H118)/(1-Inputs!$B$50)</f>
        <v>0.19187898089172</v>
      </c>
    </row>
    <row r="119" customFormat="false" ht="15" hidden="false" customHeight="false" outlineLevel="0" collapsed="false">
      <c r="B119" s="10" t="n">
        <v>0.43</v>
      </c>
      <c r="D119" s="21" t="n">
        <f aca="false">Rate_Card!$I$36*Rate_Card!$K$36*(((1-$B119)/(1-Inputs!$B$6))+Rate_Card!$L$36*(1-((1-$B119)/(1-Inputs!$B$6))))+Rate_Card!$I$37*Rate_Card!$K$37*(((1-$B119)/(1-Inputs!$B$6))+Rate_Card!$L$37*(1-((1-$B119)/(1-Inputs!$B$6))))+Rate_Card!$I$38*Rate_Card!$K$38*(((1-$B119)/(1-Inputs!$B$6))+Rate_Card!$L$38*(1-((1-$B119)/(1-Inputs!$B$6))))+Rate_Card!$I$39*Rate_Card!$K$39*(((1-$B119)/(1-Inputs!$B$6))+Rate_Card!$L$39*(1-((1-$B119)/(1-Inputs!$B$6))))</f>
        <v>0.590689253557188</v>
      </c>
      <c r="E119" s="21" t="n">
        <f aca="false">Rate_Card!$I$36*Rate_Card!$K$36*(1-$B119)+Rate_Card!$I$37*Rate_Card!$K$37*(1-$B119)+Rate_Card!$I$38*Rate_Card!$K$38*(1-$B119)+Rate_Card!$I$39*Rate_Card!$K$39*(1-$B119)</f>
        <v>0.36955136841619</v>
      </c>
      <c r="F119" s="10" t="n">
        <f aca="false">1-E119/D119</f>
        <v>0.374372622845741</v>
      </c>
      <c r="G119" s="21" t="n">
        <f aca="false">D119-E119</f>
        <v>0.221137885140998</v>
      </c>
      <c r="H119" s="10" t="n">
        <f aca="false">MIN(1-(1-$B119)/(((1-$B119)/(1-Inputs!$B$6))+Rate_Card!$L$36*(1-((1-$B119)/(1-Inputs!$B$6)))),1-(1-$B119)/(((1-$B119)/(1-Inputs!$B$6))+Rate_Card!$L$37*(1-((1-$B119)/(1-Inputs!$B$6)))),1-(1-$B119)/(((1-$B119)/(1-Inputs!$B$6))+Rate_Card!$L$38*(1-((1-$B119)/(1-Inputs!$B$6)))),1-(1-$B119)/(((1-$B119)/(1-Inputs!$B$6))+Rate_Card!$L$39*(1-((1-$B119)/(1-Inputs!$B$6)))))</f>
        <v>0.358520900321543</v>
      </c>
      <c r="I119" s="16" t="n">
        <f aca="false">Forecast_12M!$N$11*D119/Rate_Card!$B$42</f>
        <v>1553965.942988</v>
      </c>
      <c r="J119" s="16" t="n">
        <f aca="false">I119-Forecast_12M!$N$5*E119</f>
        <v>558977.769134896</v>
      </c>
      <c r="K119" s="10" t="n">
        <f aca="false">1-(1-H119)/(1-Inputs!$B$50)</f>
        <v>0.198151125401929</v>
      </c>
    </row>
    <row r="120" customFormat="false" ht="15" hidden="false" customHeight="false" outlineLevel="0" collapsed="false">
      <c r="B120" s="10" t="n">
        <v>0.44</v>
      </c>
      <c r="D120" s="21" t="n">
        <f aca="false">Rate_Card!$I$36*Rate_Card!$K$36*(((1-$B120)/(1-Inputs!$B$6))+Rate_Card!$L$36*(1-((1-$B120)/(1-Inputs!$B$6))))+Rate_Card!$I$37*Rate_Card!$K$37*(((1-$B120)/(1-Inputs!$B$6))+Rate_Card!$L$37*(1-((1-$B120)/(1-Inputs!$B$6))))+Rate_Card!$I$38*Rate_Card!$K$38*(((1-$B120)/(1-Inputs!$B$6))+Rate_Card!$L$38*(1-((1-$B120)/(1-Inputs!$B$6))))+Rate_Card!$I$39*Rate_Card!$K$39*(((1-$B120)/(1-Inputs!$B$6))+Rate_Card!$L$39*(1-((1-$B120)/(1-Inputs!$B$6))))</f>
        <v>0.586254908902857</v>
      </c>
      <c r="E120" s="21" t="n">
        <f aca="false">Rate_Card!$I$36*Rate_Card!$K$36*(1-$B120)+Rate_Card!$I$37*Rate_Card!$K$37*(1-$B120)+Rate_Card!$I$38*Rate_Card!$K$38*(1-$B120)+Rate_Card!$I$39*Rate_Card!$K$39*(1-$B120)</f>
        <v>0.363068011075556</v>
      </c>
      <c r="F120" s="10" t="n">
        <f aca="false">1-E120/D120</f>
        <v>0.380699409826663</v>
      </c>
      <c r="G120" s="21" t="n">
        <f aca="false">D120-E120</f>
        <v>0.223186897827302</v>
      </c>
      <c r="H120" s="10" t="n">
        <f aca="false">MIN(1-(1-$B120)/(((1-$B120)/(1-Inputs!$B$6))+Rate_Card!$L$36*(1-((1-$B120)/(1-Inputs!$B$6)))),1-(1-$B120)/(((1-$B120)/(1-Inputs!$B$6))+Rate_Card!$L$37*(1-((1-$B120)/(1-Inputs!$B$6)))),1-(1-$B120)/(((1-$B120)/(1-Inputs!$B$6))+Rate_Card!$L$38*(1-((1-$B120)/(1-Inputs!$B$6)))),1-(1-$B120)/(((1-$B120)/(1-Inputs!$B$6))+Rate_Card!$L$39*(1-((1-$B120)/(1-Inputs!$B$6)))))</f>
        <v>0.363636363636364</v>
      </c>
      <c r="I120" s="16" t="n">
        <f aca="false">Forecast_12M!$N$11*D120/Rate_Card!$B$42</f>
        <v>1542300.21429765</v>
      </c>
      <c r="J120" s="16" t="n">
        <f aca="false">I120-Forecast_12M!$N$5*E120</f>
        <v>564767.973319165</v>
      </c>
      <c r="K120" s="10" t="n">
        <f aca="false">1-(1-H120)/(1-Inputs!$B$50)</f>
        <v>0.204545454545455</v>
      </c>
    </row>
    <row r="121" customFormat="false" ht="15" hidden="false" customHeight="false" outlineLevel="0" collapsed="false">
      <c r="B121" s="10" t="n">
        <v>0.45</v>
      </c>
      <c r="D121" s="21" t="n">
        <f aca="false">Rate_Card!$I$36*Rate_Card!$K$36*(((1-$B121)/(1-Inputs!$B$6))+Rate_Card!$L$36*(1-((1-$B121)/(1-Inputs!$B$6))))+Rate_Card!$I$37*Rate_Card!$K$37*(((1-$B121)/(1-Inputs!$B$6))+Rate_Card!$L$37*(1-((1-$B121)/(1-Inputs!$B$6))))+Rate_Card!$I$38*Rate_Card!$K$38*(((1-$B121)/(1-Inputs!$B$6))+Rate_Card!$L$38*(1-((1-$B121)/(1-Inputs!$B$6))))+Rate_Card!$I$39*Rate_Card!$K$39*(((1-$B121)/(1-Inputs!$B$6))+Rate_Card!$L$39*(1-((1-$B121)/(1-Inputs!$B$6))))</f>
        <v>0.581820564248526</v>
      </c>
      <c r="E121" s="21" t="n">
        <f aca="false">Rate_Card!$I$36*Rate_Card!$K$36*(1-$B121)+Rate_Card!$I$37*Rate_Card!$K$37*(1-$B121)+Rate_Card!$I$38*Rate_Card!$K$38*(1-$B121)+Rate_Card!$I$39*Rate_Card!$K$39*(1-$B121)</f>
        <v>0.356584653734921</v>
      </c>
      <c r="F121" s="10" t="n">
        <f aca="false">1-E121/D121</f>
        <v>0.387122636004656</v>
      </c>
      <c r="G121" s="21" t="n">
        <f aca="false">D121-E121</f>
        <v>0.225235910513605</v>
      </c>
      <c r="H121" s="10" t="n">
        <f aca="false">MIN(1-(1-$B121)/(((1-$B121)/(1-Inputs!$B$6))+Rate_Card!$L$36*(1-((1-$B121)/(1-Inputs!$B$6)))),1-(1-$B121)/(((1-$B121)/(1-Inputs!$B$6))+Rate_Card!$L$37*(1-((1-$B121)/(1-Inputs!$B$6)))),1-(1-$B121)/(((1-$B121)/(1-Inputs!$B$6))+Rate_Card!$L$38*(1-((1-$B121)/(1-Inputs!$B$6)))),1-(1-$B121)/(((1-$B121)/(1-Inputs!$B$6))+Rate_Card!$L$39*(1-((1-$B121)/(1-Inputs!$B$6)))))</f>
        <v>0.368852459016393</v>
      </c>
      <c r="I121" s="16" t="n">
        <f aca="false">Forecast_12M!$N$11*D121/Rate_Card!$B$42</f>
        <v>1530634.4856073</v>
      </c>
      <c r="J121" s="16" t="n">
        <f aca="false">I121-Forecast_12M!$N$5*E121</f>
        <v>570558.177503434</v>
      </c>
      <c r="K121" s="10" t="n">
        <f aca="false">1-(1-H121)/(1-Inputs!$B$50)</f>
        <v>0.211065573770492</v>
      </c>
    </row>
    <row r="122" customFormat="false" ht="15" hidden="false" customHeight="false" outlineLevel="0" collapsed="false">
      <c r="B122" s="10" t="n">
        <v>0.46</v>
      </c>
      <c r="D122" s="21" t="n">
        <f aca="false">Rate_Card!$I$36*Rate_Card!$K$36*(((1-$B122)/(1-Inputs!$B$6))+Rate_Card!$L$36*(1-((1-$B122)/(1-Inputs!$B$6))))+Rate_Card!$I$37*Rate_Card!$K$37*(((1-$B122)/(1-Inputs!$B$6))+Rate_Card!$L$37*(1-((1-$B122)/(1-Inputs!$B$6))))+Rate_Card!$I$38*Rate_Card!$K$38*(((1-$B122)/(1-Inputs!$B$6))+Rate_Card!$L$38*(1-((1-$B122)/(1-Inputs!$B$6))))+Rate_Card!$I$39*Rate_Card!$K$39*(((1-$B122)/(1-Inputs!$B$6))+Rate_Card!$L$39*(1-((1-$B122)/(1-Inputs!$B$6))))</f>
        <v>0.577386219594195</v>
      </c>
      <c r="E122" s="21" t="n">
        <f aca="false">Rate_Card!$I$36*Rate_Card!$K$36*(1-$B122)+Rate_Card!$I$37*Rate_Card!$K$37*(1-$B122)+Rate_Card!$I$38*Rate_Card!$K$38*(1-$B122)+Rate_Card!$I$39*Rate_Card!$K$39*(1-$B122)</f>
        <v>0.350101296394286</v>
      </c>
      <c r="F122" s="10" t="n">
        <f aca="false">1-E122/D122</f>
        <v>0.393644523348085</v>
      </c>
      <c r="G122" s="21" t="n">
        <f aca="false">D122-E122</f>
        <v>0.227284923199909</v>
      </c>
      <c r="H122" s="10" t="n">
        <f aca="false">MIN(1-(1-$B122)/(((1-$B122)/(1-Inputs!$B$6))+Rate_Card!$L$36*(1-((1-$B122)/(1-Inputs!$B$6)))),1-(1-$B122)/(((1-$B122)/(1-Inputs!$B$6))+Rate_Card!$L$37*(1-((1-$B122)/(1-Inputs!$B$6)))),1-(1-$B122)/(((1-$B122)/(1-Inputs!$B$6))+Rate_Card!$L$38*(1-((1-$B122)/(1-Inputs!$B$6)))),1-(1-$B122)/(((1-$B122)/(1-Inputs!$B$6))+Rate_Card!$L$39*(1-((1-$B122)/(1-Inputs!$B$6)))))</f>
        <v>0.374172185430464</v>
      </c>
      <c r="I122" s="16" t="n">
        <f aca="false">Forecast_12M!$N$11*D122/Rate_Card!$B$42</f>
        <v>1518968.75691696</v>
      </c>
      <c r="J122" s="16" t="n">
        <f aca="false">I122-Forecast_12M!$N$5*E122</f>
        <v>576348.381687704</v>
      </c>
      <c r="K122" s="10" t="n">
        <f aca="false">1-(1-H122)/(1-Inputs!$B$50)</f>
        <v>0.21771523178808</v>
      </c>
    </row>
    <row r="123" customFormat="false" ht="15" hidden="false" customHeight="false" outlineLevel="0" collapsed="false">
      <c r="B123" s="10" t="n">
        <v>0.47</v>
      </c>
      <c r="D123" s="21" t="n">
        <f aca="false">Rate_Card!$I$36*Rate_Card!$K$36*(((1-$B123)/(1-Inputs!$B$6))+Rate_Card!$L$36*(1-((1-$B123)/(1-Inputs!$B$6))))+Rate_Card!$I$37*Rate_Card!$K$37*(((1-$B123)/(1-Inputs!$B$6))+Rate_Card!$L$37*(1-((1-$B123)/(1-Inputs!$B$6))))+Rate_Card!$I$38*Rate_Card!$K$38*(((1-$B123)/(1-Inputs!$B$6))+Rate_Card!$L$38*(1-((1-$B123)/(1-Inputs!$B$6))))+Rate_Card!$I$39*Rate_Card!$K$39*(((1-$B123)/(1-Inputs!$B$6))+Rate_Card!$L$39*(1-((1-$B123)/(1-Inputs!$B$6))))</f>
        <v>0.572951874939864</v>
      </c>
      <c r="E123" s="21" t="n">
        <f aca="false">Rate_Card!$I$36*Rate_Card!$K$36*(1-$B123)+Rate_Card!$I$37*Rate_Card!$K$37*(1-$B123)+Rate_Card!$I$38*Rate_Card!$K$38*(1-$B123)+Rate_Card!$I$39*Rate_Card!$K$39*(1-$B123)</f>
        <v>0.343617939053651</v>
      </c>
      <c r="F123" s="10" t="n">
        <f aca="false">1-E123/D123</f>
        <v>0.400267362612756</v>
      </c>
      <c r="G123" s="21" t="n">
        <f aca="false">D123-E123</f>
        <v>0.229333935886213</v>
      </c>
      <c r="H123" s="10" t="n">
        <f aca="false">MIN(1-(1-$B123)/(((1-$B123)/(1-Inputs!$B$6))+Rate_Card!$L$36*(1-((1-$B123)/(1-Inputs!$B$6)))),1-(1-$B123)/(((1-$B123)/(1-Inputs!$B$6))+Rate_Card!$L$37*(1-((1-$B123)/(1-Inputs!$B$6)))),1-(1-$B123)/(((1-$B123)/(1-Inputs!$B$6))+Rate_Card!$L$38*(1-((1-$B123)/(1-Inputs!$B$6)))),1-(1-$B123)/(((1-$B123)/(1-Inputs!$B$6))+Rate_Card!$L$39*(1-((1-$B123)/(1-Inputs!$B$6)))))</f>
        <v>0.379598662207358</v>
      </c>
      <c r="I123" s="16" t="n">
        <f aca="false">Forecast_12M!$N$11*D123/Rate_Card!$B$42</f>
        <v>1507303.02822661</v>
      </c>
      <c r="J123" s="16" t="n">
        <f aca="false">I123-Forecast_12M!$N$5*E123</f>
        <v>582138.585871973</v>
      </c>
      <c r="K123" s="10" t="n">
        <f aca="false">1-(1-H123)/(1-Inputs!$B$50)</f>
        <v>0.224498327759197</v>
      </c>
    </row>
    <row r="124" customFormat="false" ht="15" hidden="false" customHeight="false" outlineLevel="0" collapsed="false">
      <c r="B124" s="10" t="n">
        <v>0.48</v>
      </c>
      <c r="D124" s="21" t="n">
        <f aca="false">Rate_Card!$I$36*Rate_Card!$K$36*(((1-$B124)/(1-Inputs!$B$6))+Rate_Card!$L$36*(1-((1-$B124)/(1-Inputs!$B$6))))+Rate_Card!$I$37*Rate_Card!$K$37*(((1-$B124)/(1-Inputs!$B$6))+Rate_Card!$L$37*(1-((1-$B124)/(1-Inputs!$B$6))))+Rate_Card!$I$38*Rate_Card!$K$38*(((1-$B124)/(1-Inputs!$B$6))+Rate_Card!$L$38*(1-((1-$B124)/(1-Inputs!$B$6))))+Rate_Card!$I$39*Rate_Card!$K$39*(((1-$B124)/(1-Inputs!$B$6))+Rate_Card!$L$39*(1-((1-$B124)/(1-Inputs!$B$6))))</f>
        <v>0.568517530285533</v>
      </c>
      <c r="E124" s="21" t="n">
        <f aca="false">Rate_Card!$I$36*Rate_Card!$K$36*(1-$B124)+Rate_Card!$I$37*Rate_Card!$K$37*(1-$B124)+Rate_Card!$I$38*Rate_Card!$K$38*(1-$B124)+Rate_Card!$I$39*Rate_Card!$K$39*(1-$B124)</f>
        <v>0.337134581713016</v>
      </c>
      <c r="F124" s="10" t="n">
        <f aca="false">1-E124/D124</f>
        <v>0.406993516024575</v>
      </c>
      <c r="G124" s="21" t="n">
        <f aca="false">D124-E124</f>
        <v>0.231382948572517</v>
      </c>
      <c r="H124" s="10" t="n">
        <f aca="false">MIN(1-(1-$B124)/(((1-$B124)/(1-Inputs!$B$6))+Rate_Card!$L$36*(1-((1-$B124)/(1-Inputs!$B$6)))),1-(1-$B124)/(((1-$B124)/(1-Inputs!$B$6))+Rate_Card!$L$37*(1-((1-$B124)/(1-Inputs!$B$6)))),1-(1-$B124)/(((1-$B124)/(1-Inputs!$B$6))+Rate_Card!$L$38*(1-((1-$B124)/(1-Inputs!$B$6)))),1-(1-$B124)/(((1-$B124)/(1-Inputs!$B$6))+Rate_Card!$L$39*(1-((1-$B124)/(1-Inputs!$B$6)))))</f>
        <v>0.385135135135135</v>
      </c>
      <c r="I124" s="16" t="n">
        <f aca="false">Forecast_12M!$N$11*D124/Rate_Card!$B$42</f>
        <v>1495637.29953626</v>
      </c>
      <c r="J124" s="16" t="n">
        <f aca="false">I124-Forecast_12M!$N$5*E124</f>
        <v>587928.790056243</v>
      </c>
      <c r="K124" s="10" t="n">
        <f aca="false">1-(1-H124)/(1-Inputs!$B$50)</f>
        <v>0.231418918918919</v>
      </c>
    </row>
    <row r="125" customFormat="false" ht="15" hidden="false" customHeight="false" outlineLevel="0" collapsed="false">
      <c r="B125" s="10" t="n">
        <v>0.49</v>
      </c>
      <c r="D125" s="21" t="n">
        <f aca="false">Rate_Card!$I$36*Rate_Card!$K$36*(((1-$B125)/(1-Inputs!$B$6))+Rate_Card!$L$36*(1-((1-$B125)/(1-Inputs!$B$6))))+Rate_Card!$I$37*Rate_Card!$K$37*(((1-$B125)/(1-Inputs!$B$6))+Rate_Card!$L$37*(1-((1-$B125)/(1-Inputs!$B$6))))+Rate_Card!$I$38*Rate_Card!$K$38*(((1-$B125)/(1-Inputs!$B$6))+Rate_Card!$L$38*(1-((1-$B125)/(1-Inputs!$B$6))))+Rate_Card!$I$39*Rate_Card!$K$39*(((1-$B125)/(1-Inputs!$B$6))+Rate_Card!$L$39*(1-((1-$B125)/(1-Inputs!$B$6))))</f>
        <v>0.564083185631202</v>
      </c>
      <c r="E125" s="21" t="n">
        <f aca="false">Rate_Card!$I$36*Rate_Card!$K$36*(1-$B125)+Rate_Card!$I$37*Rate_Card!$K$37*(1-$B125)+Rate_Card!$I$38*Rate_Card!$K$38*(1-$B125)+Rate_Card!$I$39*Rate_Card!$K$39*(1-$B125)</f>
        <v>0.330651224372381</v>
      </c>
      <c r="F125" s="10" t="n">
        <f aca="false">1-E125/D125</f>
        <v>0.41382542008873</v>
      </c>
      <c r="G125" s="21" t="n">
        <f aca="false">D125-E125</f>
        <v>0.233431961258821</v>
      </c>
      <c r="H125" s="10" t="n">
        <f aca="false">MIN(1-(1-$B125)/(((1-$B125)/(1-Inputs!$B$6))+Rate_Card!$L$36*(1-((1-$B125)/(1-Inputs!$B$6)))),1-(1-$B125)/(((1-$B125)/(1-Inputs!$B$6))+Rate_Card!$L$37*(1-((1-$B125)/(1-Inputs!$B$6)))),1-(1-$B125)/(((1-$B125)/(1-Inputs!$B$6))+Rate_Card!$L$38*(1-((1-$B125)/(1-Inputs!$B$6)))),1-(1-$B125)/(((1-$B125)/(1-Inputs!$B$6))+Rate_Card!$L$39*(1-((1-$B125)/(1-Inputs!$B$6)))))</f>
        <v>0.390784982935154</v>
      </c>
      <c r="I125" s="16" t="n">
        <f aca="false">Forecast_12M!$N$11*D125/Rate_Card!$B$42</f>
        <v>1483971.57084592</v>
      </c>
      <c r="J125" s="16" t="n">
        <f aca="false">I125-Forecast_12M!$N$5*E125</f>
        <v>593718.994240512</v>
      </c>
      <c r="K125" s="10" t="n">
        <f aca="false">1-(1-H125)/(1-Inputs!$B$50)</f>
        <v>0.238481228668942</v>
      </c>
    </row>
    <row r="126" customFormat="false" ht="15" hidden="false" customHeight="false" outlineLevel="0" collapsed="false">
      <c r="B126" s="10" t="n">
        <v>0.5</v>
      </c>
      <c r="D126" s="21" t="n">
        <f aca="false">Rate_Card!$I$36*Rate_Card!$K$36*(((1-$B126)/(1-Inputs!$B$6))+Rate_Card!$L$36*(1-((1-$B126)/(1-Inputs!$B$6))))+Rate_Card!$I$37*Rate_Card!$K$37*(((1-$B126)/(1-Inputs!$B$6))+Rate_Card!$L$37*(1-((1-$B126)/(1-Inputs!$B$6))))+Rate_Card!$I$38*Rate_Card!$K$38*(((1-$B126)/(1-Inputs!$B$6))+Rate_Card!$L$38*(1-((1-$B126)/(1-Inputs!$B$6))))+Rate_Card!$I$39*Rate_Card!$K$39*(((1-$B126)/(1-Inputs!$B$6))+Rate_Card!$L$39*(1-((1-$B126)/(1-Inputs!$B$6))))</f>
        <v>0.559648840976871</v>
      </c>
      <c r="E126" s="21" t="n">
        <f aca="false">Rate_Card!$I$36*Rate_Card!$K$36*(1-$B126)+Rate_Card!$I$37*Rate_Card!$K$37*(1-$B126)+Rate_Card!$I$38*Rate_Card!$K$38*(1-$B126)+Rate_Card!$I$39*Rate_Card!$K$39*(1-$B126)</f>
        <v>0.324167867031746</v>
      </c>
      <c r="F126" s="10" t="n">
        <f aca="false">1-E126/D126</f>
        <v>0.420765588532429</v>
      </c>
      <c r="G126" s="21" t="n">
        <f aca="false">D126-E126</f>
        <v>0.235480973945125</v>
      </c>
      <c r="H126" s="10" t="n">
        <f aca="false">MIN(1-(1-$B126)/(((1-$B126)/(1-Inputs!$B$6))+Rate_Card!$L$36*(1-((1-$B126)/(1-Inputs!$B$6)))),1-(1-$B126)/(((1-$B126)/(1-Inputs!$B$6))+Rate_Card!$L$37*(1-((1-$B126)/(1-Inputs!$B$6)))),1-(1-$B126)/(((1-$B126)/(1-Inputs!$B$6))+Rate_Card!$L$38*(1-((1-$B126)/(1-Inputs!$B$6)))),1-(1-$B126)/(((1-$B126)/(1-Inputs!$B$6))+Rate_Card!$L$39*(1-((1-$B126)/(1-Inputs!$B$6)))))</f>
        <v>0.396551724137931</v>
      </c>
      <c r="I126" s="16" t="n">
        <f aca="false">Forecast_12M!$N$11*D126/Rate_Card!$B$42</f>
        <v>1472305.84215557</v>
      </c>
      <c r="J126" s="16" t="n">
        <f aca="false">I126-Forecast_12M!$N$5*E126</f>
        <v>599509.198424782</v>
      </c>
      <c r="K126" s="10" t="n">
        <f aca="false">1-(1-H126)/(1-Inputs!$B$50)</f>
        <v>0.245689655172414</v>
      </c>
    </row>
    <row r="127" customFormat="false" ht="15" hidden="false" customHeight="false" outlineLevel="0" collapsed="false">
      <c r="B127" s="10" t="n">
        <v>0.51</v>
      </c>
      <c r="D127" s="21" t="n">
        <f aca="false">Rate_Card!$I$36*Rate_Card!$K$36*(((1-$B127)/(1-Inputs!$B$6))+Rate_Card!$L$36*(1-((1-$B127)/(1-Inputs!$B$6))))+Rate_Card!$I$37*Rate_Card!$K$37*(((1-$B127)/(1-Inputs!$B$6))+Rate_Card!$L$37*(1-((1-$B127)/(1-Inputs!$B$6))))+Rate_Card!$I$38*Rate_Card!$K$38*(((1-$B127)/(1-Inputs!$B$6))+Rate_Card!$L$38*(1-((1-$B127)/(1-Inputs!$B$6))))+Rate_Card!$I$39*Rate_Card!$K$39*(((1-$B127)/(1-Inputs!$B$6))+Rate_Card!$L$39*(1-((1-$B127)/(1-Inputs!$B$6))))</f>
        <v>0.55521449632254</v>
      </c>
      <c r="E127" s="21" t="n">
        <f aca="false">Rate_Card!$I$36*Rate_Card!$K$36*(1-$B127)+Rate_Card!$I$37*Rate_Card!$K$37*(1-$B127)+Rate_Card!$I$38*Rate_Card!$K$38*(1-$B127)+Rate_Card!$I$39*Rate_Card!$K$39*(1-$B127)</f>
        <v>0.317684509691111</v>
      </c>
      <c r="F127" s="10" t="n">
        <f aca="false">1-E127/D127</f>
        <v>0.42781661538866</v>
      </c>
      <c r="G127" s="21" t="n">
        <f aca="false">D127-E127</f>
        <v>0.237529986631429</v>
      </c>
      <c r="H127" s="10" t="n">
        <f aca="false">MIN(1-(1-$B127)/(((1-$B127)/(1-Inputs!$B$6))+Rate_Card!$L$36*(1-((1-$B127)/(1-Inputs!$B$6)))),1-(1-$B127)/(((1-$B127)/(1-Inputs!$B$6))+Rate_Card!$L$37*(1-((1-$B127)/(1-Inputs!$B$6)))),1-(1-$B127)/(((1-$B127)/(1-Inputs!$B$6))+Rate_Card!$L$38*(1-((1-$B127)/(1-Inputs!$B$6)))),1-(1-$B127)/(((1-$B127)/(1-Inputs!$B$6))+Rate_Card!$L$39*(1-((1-$B127)/(1-Inputs!$B$6)))))</f>
        <v>0.402439024390244</v>
      </c>
      <c r="I127" s="16" t="n">
        <f aca="false">Forecast_12M!$N$11*D127/Rate_Card!$B$42</f>
        <v>1460640.11346523</v>
      </c>
      <c r="J127" s="16" t="n">
        <f aca="false">I127-Forecast_12M!$N$5*E127</f>
        <v>605299.402609051</v>
      </c>
      <c r="K127" s="10" t="n">
        <f aca="false">1-(1-H127)/(1-Inputs!$B$50)</f>
        <v>0.253048780487805</v>
      </c>
    </row>
    <row r="128" customFormat="false" ht="15" hidden="false" customHeight="false" outlineLevel="0" collapsed="false">
      <c r="B128" s="10" t="n">
        <v>0.52</v>
      </c>
      <c r="D128" s="21" t="n">
        <f aca="false">Rate_Card!$I$36*Rate_Card!$K$36*(((1-$B128)/(1-Inputs!$B$6))+Rate_Card!$L$36*(1-((1-$B128)/(1-Inputs!$B$6))))+Rate_Card!$I$37*Rate_Card!$K$37*(((1-$B128)/(1-Inputs!$B$6))+Rate_Card!$L$37*(1-((1-$B128)/(1-Inputs!$B$6))))+Rate_Card!$I$38*Rate_Card!$K$38*(((1-$B128)/(1-Inputs!$B$6))+Rate_Card!$L$38*(1-((1-$B128)/(1-Inputs!$B$6))))+Rate_Card!$I$39*Rate_Card!$K$39*(((1-$B128)/(1-Inputs!$B$6))+Rate_Card!$L$39*(1-((1-$B128)/(1-Inputs!$B$6))))</f>
        <v>0.550780151668209</v>
      </c>
      <c r="E128" s="21" t="n">
        <f aca="false">Rate_Card!$I$36*Rate_Card!$K$36*(1-$B128)+Rate_Card!$I$37*Rate_Card!$K$37*(1-$B128)+Rate_Card!$I$38*Rate_Card!$K$38*(1-$B128)+Rate_Card!$I$39*Rate_Card!$K$39*(1-$B128)</f>
        <v>0.311201152350476</v>
      </c>
      <c r="F128" s="10" t="n">
        <f aca="false">1-E128/D128</f>
        <v>0.434981178228905</v>
      </c>
      <c r="G128" s="21" t="n">
        <f aca="false">D128-E128</f>
        <v>0.239578999317732</v>
      </c>
      <c r="H128" s="10" t="n">
        <f aca="false">MIN(1-(1-$B128)/(((1-$B128)/(1-Inputs!$B$6))+Rate_Card!$L$36*(1-((1-$B128)/(1-Inputs!$B$6)))),1-(1-$B128)/(((1-$B128)/(1-Inputs!$B$6))+Rate_Card!$L$37*(1-((1-$B128)/(1-Inputs!$B$6)))),1-(1-$B128)/(((1-$B128)/(1-Inputs!$B$6))+Rate_Card!$L$38*(1-((1-$B128)/(1-Inputs!$B$6)))),1-(1-$B128)/(((1-$B128)/(1-Inputs!$B$6))+Rate_Card!$L$39*(1-((1-$B128)/(1-Inputs!$B$6)))))</f>
        <v>0.408450704225352</v>
      </c>
      <c r="I128" s="16" t="n">
        <f aca="false">Forecast_12M!$N$11*D128/Rate_Card!$B$42</f>
        <v>1448974.38477488</v>
      </c>
      <c r="J128" s="16" t="n">
        <f aca="false">I128-Forecast_12M!$N$5*E128</f>
        <v>611089.606793321</v>
      </c>
      <c r="K128" s="10" t="n">
        <f aca="false">1-(1-H128)/(1-Inputs!$B$50)</f>
        <v>0.26056338028169</v>
      </c>
    </row>
    <row r="129" customFormat="false" ht="15" hidden="false" customHeight="false" outlineLevel="0" collapsed="false">
      <c r="B129" s="10" t="n">
        <v>0.53</v>
      </c>
      <c r="D129" s="21" t="n">
        <f aca="false">Rate_Card!$I$36*Rate_Card!$K$36*(((1-$B129)/(1-Inputs!$B$6))+Rate_Card!$L$36*(1-((1-$B129)/(1-Inputs!$B$6))))+Rate_Card!$I$37*Rate_Card!$K$37*(((1-$B129)/(1-Inputs!$B$6))+Rate_Card!$L$37*(1-((1-$B129)/(1-Inputs!$B$6))))+Rate_Card!$I$38*Rate_Card!$K$38*(((1-$B129)/(1-Inputs!$B$6))+Rate_Card!$L$38*(1-((1-$B129)/(1-Inputs!$B$6))))+Rate_Card!$I$39*Rate_Card!$K$39*(((1-$B129)/(1-Inputs!$B$6))+Rate_Card!$L$39*(1-((1-$B129)/(1-Inputs!$B$6))))</f>
        <v>0.546345807013878</v>
      </c>
      <c r="E129" s="21" t="n">
        <f aca="false">Rate_Card!$I$36*Rate_Card!$K$36*(1-$B129)+Rate_Card!$I$37*Rate_Card!$K$37*(1-$B129)+Rate_Card!$I$38*Rate_Card!$K$38*(1-$B129)+Rate_Card!$I$39*Rate_Card!$K$39*(1-$B129)</f>
        <v>0.304717795009841</v>
      </c>
      <c r="F129" s="10" t="n">
        <f aca="false">1-E129/D129</f>
        <v>0.442262041553288</v>
      </c>
      <c r="G129" s="21" t="n">
        <f aca="false">D129-E129</f>
        <v>0.241628012004036</v>
      </c>
      <c r="H129" s="10" t="n">
        <f aca="false">MIN(1-(1-$B129)/(((1-$B129)/(1-Inputs!$B$6))+Rate_Card!$L$36*(1-((1-$B129)/(1-Inputs!$B$6)))),1-(1-$B129)/(((1-$B129)/(1-Inputs!$B$6))+Rate_Card!$L$37*(1-((1-$B129)/(1-Inputs!$B$6)))),1-(1-$B129)/(((1-$B129)/(1-Inputs!$B$6))+Rate_Card!$L$38*(1-((1-$B129)/(1-Inputs!$B$6)))),1-(1-$B129)/(((1-$B129)/(1-Inputs!$B$6))+Rate_Card!$L$39*(1-((1-$B129)/(1-Inputs!$B$6)))))</f>
        <v>0.414590747330961</v>
      </c>
      <c r="I129" s="16" t="n">
        <f aca="false">Forecast_12M!$N$11*D129/Rate_Card!$B$42</f>
        <v>1437308.65608453</v>
      </c>
      <c r="J129" s="16" t="n">
        <f aca="false">I129-Forecast_12M!$N$5*E129</f>
        <v>616879.81097759</v>
      </c>
      <c r="K129" s="10" t="n">
        <f aca="false">1-(1-H129)/(1-Inputs!$B$50)</f>
        <v>0.268238434163701</v>
      </c>
    </row>
    <row r="130" customFormat="false" ht="15" hidden="false" customHeight="false" outlineLevel="0" collapsed="false">
      <c r="B130" s="10" t="n">
        <v>0.54</v>
      </c>
      <c r="D130" s="21" t="n">
        <f aca="false">Rate_Card!$I$36*Rate_Card!$K$36*(((1-$B130)/(1-Inputs!$B$6))+Rate_Card!$L$36*(1-((1-$B130)/(1-Inputs!$B$6))))+Rate_Card!$I$37*Rate_Card!$K$37*(((1-$B130)/(1-Inputs!$B$6))+Rate_Card!$L$37*(1-((1-$B130)/(1-Inputs!$B$6))))+Rate_Card!$I$38*Rate_Card!$K$38*(((1-$B130)/(1-Inputs!$B$6))+Rate_Card!$L$38*(1-((1-$B130)/(1-Inputs!$B$6))))+Rate_Card!$I$39*Rate_Card!$K$39*(((1-$B130)/(1-Inputs!$B$6))+Rate_Card!$L$39*(1-((1-$B130)/(1-Inputs!$B$6))))</f>
        <v>0.541911462359547</v>
      </c>
      <c r="E130" s="21" t="n">
        <f aca="false">Rate_Card!$I$36*Rate_Card!$K$36*(1-$B130)+Rate_Card!$I$37*Rate_Card!$K$37*(1-$B130)+Rate_Card!$I$38*Rate_Card!$K$38*(1-$B130)+Rate_Card!$I$39*Rate_Card!$K$39*(1-$B130)</f>
        <v>0.298234437669206</v>
      </c>
      <c r="F130" s="10" t="n">
        <f aca="false">1-E130/D130</f>
        <v>0.449662060347168</v>
      </c>
      <c r="G130" s="21" t="n">
        <f aca="false">D130-E130</f>
        <v>0.24367702469034</v>
      </c>
      <c r="H130" s="10" t="n">
        <f aca="false">MIN(1-(1-$B130)/(((1-$B130)/(1-Inputs!$B$6))+Rate_Card!$L$36*(1-((1-$B130)/(1-Inputs!$B$6)))),1-(1-$B130)/(((1-$B130)/(1-Inputs!$B$6))+Rate_Card!$L$37*(1-((1-$B130)/(1-Inputs!$B$6)))),1-(1-$B130)/(((1-$B130)/(1-Inputs!$B$6))+Rate_Card!$L$38*(1-((1-$B130)/(1-Inputs!$B$6)))),1-(1-$B130)/(((1-$B130)/(1-Inputs!$B$6))+Rate_Card!$L$39*(1-((1-$B130)/(1-Inputs!$B$6)))))</f>
        <v>0.420863309352518</v>
      </c>
      <c r="I130" s="16" t="n">
        <f aca="false">Forecast_12M!$N$11*D130/Rate_Card!$B$42</f>
        <v>1425642.92739419</v>
      </c>
      <c r="J130" s="16" t="n">
        <f aca="false">I130-Forecast_12M!$N$5*E130</f>
        <v>622670.01516186</v>
      </c>
      <c r="K130" s="10" t="n">
        <f aca="false">1-(1-H130)/(1-Inputs!$B$50)</f>
        <v>0.276079136690648</v>
      </c>
    </row>
    <row r="131" customFormat="false" ht="15" hidden="false" customHeight="false" outlineLevel="0" collapsed="false">
      <c r="B131" s="10" t="n">
        <v>0.55</v>
      </c>
      <c r="D131" s="21" t="n">
        <f aca="false">Rate_Card!$I$36*Rate_Card!$K$36*(((1-$B131)/(1-Inputs!$B$6))+Rate_Card!$L$36*(1-((1-$B131)/(1-Inputs!$B$6))))+Rate_Card!$I$37*Rate_Card!$K$37*(((1-$B131)/(1-Inputs!$B$6))+Rate_Card!$L$37*(1-((1-$B131)/(1-Inputs!$B$6))))+Rate_Card!$I$38*Rate_Card!$K$38*(((1-$B131)/(1-Inputs!$B$6))+Rate_Card!$L$38*(1-((1-$B131)/(1-Inputs!$B$6))))+Rate_Card!$I$39*Rate_Card!$K$39*(((1-$B131)/(1-Inputs!$B$6))+Rate_Card!$L$39*(1-((1-$B131)/(1-Inputs!$B$6))))</f>
        <v>0.537477117705215</v>
      </c>
      <c r="E131" s="21" t="n">
        <f aca="false">Rate_Card!$I$36*Rate_Card!$K$36*(1-$B131)+Rate_Card!$I$37*Rate_Card!$K$37*(1-$B131)+Rate_Card!$I$38*Rate_Card!$K$38*(1-$B131)+Rate_Card!$I$39*Rate_Card!$K$39*(1-$B131)</f>
        <v>0.291751080328571</v>
      </c>
      <c r="F131" s="10" t="n">
        <f aca="false">1-E131/D131</f>
        <v>0.457184183813784</v>
      </c>
      <c r="G131" s="21" t="n">
        <f aca="false">D131-E131</f>
        <v>0.245726037376644</v>
      </c>
      <c r="H131" s="10" t="n">
        <f aca="false">MIN(1-(1-$B131)/(((1-$B131)/(1-Inputs!$B$6))+Rate_Card!$L$36*(1-((1-$B131)/(1-Inputs!$B$6)))),1-(1-$B131)/(((1-$B131)/(1-Inputs!$B$6))+Rate_Card!$L$37*(1-((1-$B131)/(1-Inputs!$B$6)))),1-(1-$B131)/(((1-$B131)/(1-Inputs!$B$6))+Rate_Card!$L$38*(1-((1-$B131)/(1-Inputs!$B$6)))),1-(1-$B131)/(((1-$B131)/(1-Inputs!$B$6))+Rate_Card!$L$39*(1-((1-$B131)/(1-Inputs!$B$6)))))</f>
        <v>0.427272727272727</v>
      </c>
      <c r="I131" s="16" t="n">
        <f aca="false">Forecast_12M!$N$11*D131/Rate_Card!$B$42</f>
        <v>1413977.19870384</v>
      </c>
      <c r="J131" s="16" t="n">
        <f aca="false">I131-Forecast_12M!$N$5*E131</f>
        <v>628460.219346129</v>
      </c>
      <c r="K131" s="10" t="n">
        <f aca="false">1-(1-H131)/(1-Inputs!$B$50)</f>
        <v>0.284090909090909</v>
      </c>
    </row>
    <row r="132" customFormat="false" ht="15" hidden="false" customHeight="false" outlineLevel="0" collapsed="false">
      <c r="B132" s="10" t="n">
        <v>0.56</v>
      </c>
      <c r="D132" s="21" t="n">
        <f aca="false">Rate_Card!$I$36*Rate_Card!$K$36*(((1-$B132)/(1-Inputs!$B$6))+Rate_Card!$L$36*(1-((1-$B132)/(1-Inputs!$B$6))))+Rate_Card!$I$37*Rate_Card!$K$37*(((1-$B132)/(1-Inputs!$B$6))+Rate_Card!$L$37*(1-((1-$B132)/(1-Inputs!$B$6))))+Rate_Card!$I$38*Rate_Card!$K$38*(((1-$B132)/(1-Inputs!$B$6))+Rate_Card!$L$38*(1-((1-$B132)/(1-Inputs!$B$6))))+Rate_Card!$I$39*Rate_Card!$K$39*(((1-$B132)/(1-Inputs!$B$6))+Rate_Card!$L$39*(1-((1-$B132)/(1-Inputs!$B$6))))</f>
        <v>0.533042773050884</v>
      </c>
      <c r="E132" s="21" t="n">
        <f aca="false">Rate_Card!$I$36*Rate_Card!$K$36*(1-$B132)+Rate_Card!$I$37*Rate_Card!$K$37*(1-$B132)+Rate_Card!$I$38*Rate_Card!$K$38*(1-$B132)+Rate_Card!$I$39*Rate_Card!$K$39*(1-$B132)</f>
        <v>0.285267722987937</v>
      </c>
      <c r="F132" s="10" t="n">
        <f aca="false">1-E132/D132</f>
        <v>0.464831459293221</v>
      </c>
      <c r="G132" s="21" t="n">
        <f aca="false">D132-E132</f>
        <v>0.247775050062948</v>
      </c>
      <c r="H132" s="10" t="n">
        <f aca="false">MIN(1-(1-$B132)/(((1-$B132)/(1-Inputs!$B$6))+Rate_Card!$L$36*(1-((1-$B132)/(1-Inputs!$B$6)))),1-(1-$B132)/(((1-$B132)/(1-Inputs!$B$6))+Rate_Card!$L$37*(1-((1-$B132)/(1-Inputs!$B$6)))),1-(1-$B132)/(((1-$B132)/(1-Inputs!$B$6))+Rate_Card!$L$38*(1-((1-$B132)/(1-Inputs!$B$6)))),1-(1-$B132)/(((1-$B132)/(1-Inputs!$B$6))+Rate_Card!$L$39*(1-((1-$B132)/(1-Inputs!$B$6)))))</f>
        <v>0.433823529411765</v>
      </c>
      <c r="I132" s="16" t="n">
        <f aca="false">Forecast_12M!$N$11*D132/Rate_Card!$B$42</f>
        <v>1402311.47001349</v>
      </c>
      <c r="J132" s="16" t="n">
        <f aca="false">I132-Forecast_12M!$N$5*E132</f>
        <v>634250.423530398</v>
      </c>
      <c r="K132" s="10" t="n">
        <f aca="false">1-(1-H132)/(1-Inputs!$B$50)</f>
        <v>0.292279411764706</v>
      </c>
    </row>
    <row r="133" customFormat="false" ht="15" hidden="false" customHeight="false" outlineLevel="0" collapsed="false">
      <c r="B133" s="10" t="n">
        <v>0.57</v>
      </c>
      <c r="D133" s="21" t="n">
        <f aca="false">Rate_Card!$I$36*Rate_Card!$K$36*(((1-$B133)/(1-Inputs!$B$6))+Rate_Card!$L$36*(1-((1-$B133)/(1-Inputs!$B$6))))+Rate_Card!$I$37*Rate_Card!$K$37*(((1-$B133)/(1-Inputs!$B$6))+Rate_Card!$L$37*(1-((1-$B133)/(1-Inputs!$B$6))))+Rate_Card!$I$38*Rate_Card!$K$38*(((1-$B133)/(1-Inputs!$B$6))+Rate_Card!$L$38*(1-((1-$B133)/(1-Inputs!$B$6))))+Rate_Card!$I$39*Rate_Card!$K$39*(((1-$B133)/(1-Inputs!$B$6))+Rate_Card!$L$39*(1-((1-$B133)/(1-Inputs!$B$6))))</f>
        <v>0.528608428396553</v>
      </c>
      <c r="E133" s="21" t="n">
        <f aca="false">Rate_Card!$I$36*Rate_Card!$K$36*(1-$B133)+Rate_Card!$I$37*Rate_Card!$K$37*(1-$B133)+Rate_Card!$I$38*Rate_Card!$K$38*(1-$B133)+Rate_Card!$I$39*Rate_Card!$K$39*(1-$B133)</f>
        <v>0.278784365647302</v>
      </c>
      <c r="F133" s="10" t="n">
        <f aca="false">1-E133/D133</f>
        <v>0.472607036378614</v>
      </c>
      <c r="G133" s="21" t="n">
        <f aca="false">D133-E133</f>
        <v>0.249824062749252</v>
      </c>
      <c r="H133" s="10" t="n">
        <f aca="false">MIN(1-(1-$B133)/(((1-$B133)/(1-Inputs!$B$6))+Rate_Card!$L$36*(1-((1-$B133)/(1-Inputs!$B$6)))),1-(1-$B133)/(((1-$B133)/(1-Inputs!$B$6))+Rate_Card!$L$37*(1-((1-$B133)/(1-Inputs!$B$6)))),1-(1-$B133)/(((1-$B133)/(1-Inputs!$B$6))+Rate_Card!$L$38*(1-((1-$B133)/(1-Inputs!$B$6)))),1-(1-$B133)/(((1-$B133)/(1-Inputs!$B$6))+Rate_Card!$L$39*(1-((1-$B133)/(1-Inputs!$B$6)))))</f>
        <v>0.440520446096654</v>
      </c>
      <c r="I133" s="16" t="n">
        <f aca="false">Forecast_12M!$N$11*D133/Rate_Card!$B$42</f>
        <v>1390645.74132315</v>
      </c>
      <c r="J133" s="16" t="n">
        <f aca="false">I133-Forecast_12M!$N$5*E133</f>
        <v>640040.627714668</v>
      </c>
      <c r="K133" s="10" t="n">
        <f aca="false">1-(1-H133)/(1-Inputs!$B$50)</f>
        <v>0.300650557620818</v>
      </c>
    </row>
    <row r="134" customFormat="false" ht="15" hidden="false" customHeight="false" outlineLevel="0" collapsed="false">
      <c r="B134" s="10" t="n">
        <v>0.58</v>
      </c>
      <c r="D134" s="21" t="n">
        <f aca="false">Rate_Card!$I$36*Rate_Card!$K$36*(((1-$B134)/(1-Inputs!$B$6))+Rate_Card!$L$36*(1-((1-$B134)/(1-Inputs!$B$6))))+Rate_Card!$I$37*Rate_Card!$K$37*(((1-$B134)/(1-Inputs!$B$6))+Rate_Card!$L$37*(1-((1-$B134)/(1-Inputs!$B$6))))+Rate_Card!$I$38*Rate_Card!$K$38*(((1-$B134)/(1-Inputs!$B$6))+Rate_Card!$L$38*(1-((1-$B134)/(1-Inputs!$B$6))))+Rate_Card!$I$39*Rate_Card!$K$39*(((1-$B134)/(1-Inputs!$B$6))+Rate_Card!$L$39*(1-((1-$B134)/(1-Inputs!$B$6))))</f>
        <v>0.524174083742222</v>
      </c>
      <c r="E134" s="21" t="n">
        <f aca="false">Rate_Card!$I$36*Rate_Card!$K$36*(1-$B134)+Rate_Card!$I$37*Rate_Card!$K$37*(1-$B134)+Rate_Card!$I$38*Rate_Card!$K$38*(1-$B134)+Rate_Card!$I$39*Rate_Card!$K$39*(1-$B134)</f>
        <v>0.272301008306667</v>
      </c>
      <c r="F134" s="10" t="n">
        <f aca="false">1-E134/D134</f>
        <v>0.480514171241288</v>
      </c>
      <c r="G134" s="21" t="n">
        <f aca="false">D134-E134</f>
        <v>0.251873075435556</v>
      </c>
      <c r="H134" s="10" t="n">
        <f aca="false">MIN(1-(1-$B134)/(((1-$B134)/(1-Inputs!$B$6))+Rate_Card!$L$36*(1-((1-$B134)/(1-Inputs!$B$6)))),1-(1-$B134)/(((1-$B134)/(1-Inputs!$B$6))+Rate_Card!$L$37*(1-((1-$B134)/(1-Inputs!$B$6)))),1-(1-$B134)/(((1-$B134)/(1-Inputs!$B$6))+Rate_Card!$L$38*(1-((1-$B134)/(1-Inputs!$B$6)))),1-(1-$B134)/(((1-$B134)/(1-Inputs!$B$6))+Rate_Card!$L$39*(1-((1-$B134)/(1-Inputs!$B$6)))))</f>
        <v>0.447368421052632</v>
      </c>
      <c r="I134" s="16" t="n">
        <f aca="false">Forecast_12M!$N$11*D134/Rate_Card!$B$42</f>
        <v>1378980.0126328</v>
      </c>
      <c r="J134" s="16" t="n">
        <f aca="false">I134-Forecast_12M!$N$5*E134</f>
        <v>645830.831898938</v>
      </c>
      <c r="K134" s="10" t="n">
        <f aca="false">1-(1-H134)/(1-Inputs!$B$50)</f>
        <v>0.30921052631579</v>
      </c>
    </row>
    <row r="135" customFormat="false" ht="15" hidden="false" customHeight="false" outlineLevel="0" collapsed="false">
      <c r="B135" s="10" t="n">
        <v>0.59</v>
      </c>
      <c r="D135" s="21" t="n">
        <f aca="false">Rate_Card!$I$36*Rate_Card!$K$36*(((1-$B135)/(1-Inputs!$B$6))+Rate_Card!$L$36*(1-((1-$B135)/(1-Inputs!$B$6))))+Rate_Card!$I$37*Rate_Card!$K$37*(((1-$B135)/(1-Inputs!$B$6))+Rate_Card!$L$37*(1-((1-$B135)/(1-Inputs!$B$6))))+Rate_Card!$I$38*Rate_Card!$K$38*(((1-$B135)/(1-Inputs!$B$6))+Rate_Card!$L$38*(1-((1-$B135)/(1-Inputs!$B$6))))+Rate_Card!$I$39*Rate_Card!$K$39*(((1-$B135)/(1-Inputs!$B$6))+Rate_Card!$L$39*(1-((1-$B135)/(1-Inputs!$B$6))))</f>
        <v>0.519739739087891</v>
      </c>
      <c r="E135" s="21" t="n">
        <f aca="false">Rate_Card!$I$36*Rate_Card!$K$36*(1-$B135)+Rate_Card!$I$37*Rate_Card!$K$37*(1-$B135)+Rate_Card!$I$38*Rate_Card!$K$38*(1-$B135)+Rate_Card!$I$39*Rate_Card!$K$39*(1-$B135)</f>
        <v>0.265817650966032</v>
      </c>
      <c r="F135" s="10" t="n">
        <f aca="false">1-E135/D135</f>
        <v>0.488556231177312</v>
      </c>
      <c r="G135" s="21" t="n">
        <f aca="false">D135-E135</f>
        <v>0.25392208812186</v>
      </c>
      <c r="H135" s="10" t="n">
        <f aca="false">MIN(1-(1-$B135)/(((1-$B135)/(1-Inputs!$B$6))+Rate_Card!$L$36*(1-((1-$B135)/(1-Inputs!$B$6)))),1-(1-$B135)/(((1-$B135)/(1-Inputs!$B$6))+Rate_Card!$L$37*(1-((1-$B135)/(1-Inputs!$B$6)))),1-(1-$B135)/(((1-$B135)/(1-Inputs!$B$6))+Rate_Card!$L$38*(1-((1-$B135)/(1-Inputs!$B$6)))),1-(1-$B135)/(((1-$B135)/(1-Inputs!$B$6))+Rate_Card!$L$39*(1-((1-$B135)/(1-Inputs!$B$6)))))</f>
        <v>0.454372623574144</v>
      </c>
      <c r="I135" s="16" t="n">
        <f aca="false">Forecast_12M!$N$11*D135/Rate_Card!$B$42</f>
        <v>1367314.28394246</v>
      </c>
      <c r="J135" s="16" t="n">
        <f aca="false">I135-Forecast_12M!$N$5*E135</f>
        <v>651621.036083207</v>
      </c>
      <c r="K135" s="10" t="n">
        <f aca="false">1-(1-H135)/(1-Inputs!$B$50)</f>
        <v>0.317965779467681</v>
      </c>
    </row>
    <row r="136" customFormat="false" ht="15" hidden="false" customHeight="false" outlineLevel="0" collapsed="false">
      <c r="B136" s="10" t="n">
        <v>0.6</v>
      </c>
      <c r="D136" s="21" t="n">
        <f aca="false">Rate_Card!$I$36*Rate_Card!$K$36*(((1-$B136)/(1-Inputs!$B$6))+Rate_Card!$L$36*(1-((1-$B136)/(1-Inputs!$B$6))))+Rate_Card!$I$37*Rate_Card!$K$37*(((1-$B136)/(1-Inputs!$B$6))+Rate_Card!$L$37*(1-((1-$B136)/(1-Inputs!$B$6))))+Rate_Card!$I$38*Rate_Card!$K$38*(((1-$B136)/(1-Inputs!$B$6))+Rate_Card!$L$38*(1-((1-$B136)/(1-Inputs!$B$6))))+Rate_Card!$I$39*Rate_Card!$K$39*(((1-$B136)/(1-Inputs!$B$6))+Rate_Card!$L$39*(1-((1-$B136)/(1-Inputs!$B$6))))</f>
        <v>0.51530539443356</v>
      </c>
      <c r="E136" s="21" t="n">
        <f aca="false">Rate_Card!$I$36*Rate_Card!$K$36*(1-$B136)+Rate_Card!$I$37*Rate_Card!$K$37*(1-$B136)+Rate_Card!$I$38*Rate_Card!$K$38*(1-$B136)+Rate_Card!$I$39*Rate_Card!$K$39*(1-$B136)</f>
        <v>0.259334293625397</v>
      </c>
      <c r="F136" s="10" t="n">
        <f aca="false">1-E136/D136</f>
        <v>0.496736699388786</v>
      </c>
      <c r="G136" s="21" t="n">
        <f aca="false">D136-E136</f>
        <v>0.255971100808163</v>
      </c>
      <c r="H136" s="10" t="n">
        <f aca="false">MIN(1-(1-$B136)/(((1-$B136)/(1-Inputs!$B$6))+Rate_Card!$L$36*(1-((1-$B136)/(1-Inputs!$B$6)))),1-(1-$B136)/(((1-$B136)/(1-Inputs!$B$6))+Rate_Card!$L$37*(1-((1-$B136)/(1-Inputs!$B$6)))),1-(1-$B136)/(((1-$B136)/(1-Inputs!$B$6))+Rate_Card!$L$38*(1-((1-$B136)/(1-Inputs!$B$6)))),1-(1-$B136)/(((1-$B136)/(1-Inputs!$B$6))+Rate_Card!$L$39*(1-((1-$B136)/(1-Inputs!$B$6)))))</f>
        <v>0.461538461538462</v>
      </c>
      <c r="I136" s="16" t="n">
        <f aca="false">Forecast_12M!$N$11*D136/Rate_Card!$B$42</f>
        <v>1355648.55525211</v>
      </c>
      <c r="J136" s="16" t="n">
        <f aca="false">I136-Forecast_12M!$N$5*E136</f>
        <v>657411.240267477</v>
      </c>
      <c r="K136" s="10" t="n">
        <f aca="false">1-(1-H136)/(1-Inputs!$B$50)</f>
        <v>0.326923076923077</v>
      </c>
    </row>
    <row r="137" customFormat="false" ht="15" hidden="false" customHeight="false" outlineLevel="0" collapsed="false">
      <c r="B137" s="10" t="n">
        <v>0.61</v>
      </c>
      <c r="D137" s="21" t="n">
        <f aca="false">Rate_Card!$I$36*Rate_Card!$K$36*(((1-$B137)/(1-Inputs!$B$6))+Rate_Card!$L$36*(1-((1-$B137)/(1-Inputs!$B$6))))+Rate_Card!$I$37*Rate_Card!$K$37*(((1-$B137)/(1-Inputs!$B$6))+Rate_Card!$L$37*(1-((1-$B137)/(1-Inputs!$B$6))))+Rate_Card!$I$38*Rate_Card!$K$38*(((1-$B137)/(1-Inputs!$B$6))+Rate_Card!$L$38*(1-((1-$B137)/(1-Inputs!$B$6))))+Rate_Card!$I$39*Rate_Card!$K$39*(((1-$B137)/(1-Inputs!$B$6))+Rate_Card!$L$39*(1-((1-$B137)/(1-Inputs!$B$6))))</f>
        <v>0.510871049779229</v>
      </c>
      <c r="E137" s="21" t="n">
        <f aca="false">Rate_Card!$I$36*Rate_Card!$K$36*(1-$B137)+Rate_Card!$I$37*Rate_Card!$K$37*(1-$B137)+Rate_Card!$I$38*Rate_Card!$K$38*(1-$B137)+Rate_Card!$I$39*Rate_Card!$K$39*(1-$B137)</f>
        <v>0.252850936284762</v>
      </c>
      <c r="F137" s="10" t="n">
        <f aca="false">1-E137/D137</f>
        <v>0.505059180014153</v>
      </c>
      <c r="G137" s="21" t="n">
        <f aca="false">D137-E137</f>
        <v>0.258020113494467</v>
      </c>
      <c r="H137" s="10" t="n">
        <f aca="false">MIN(1-(1-$B137)/(((1-$B137)/(1-Inputs!$B$6))+Rate_Card!$L$36*(1-((1-$B137)/(1-Inputs!$B$6)))),1-(1-$B137)/(((1-$B137)/(1-Inputs!$B$6))+Rate_Card!$L$37*(1-((1-$B137)/(1-Inputs!$B$6)))),1-(1-$B137)/(((1-$B137)/(1-Inputs!$B$6))+Rate_Card!$L$38*(1-((1-$B137)/(1-Inputs!$B$6)))),1-(1-$B137)/(((1-$B137)/(1-Inputs!$B$6))+Rate_Card!$L$39*(1-((1-$B137)/(1-Inputs!$B$6)))))</f>
        <v>0.468871595330739</v>
      </c>
      <c r="I137" s="16" t="n">
        <f aca="false">Forecast_12M!$N$11*D137/Rate_Card!$B$42</f>
        <v>1343982.82656176</v>
      </c>
      <c r="J137" s="16" t="n">
        <f aca="false">I137-Forecast_12M!$N$5*E137</f>
        <v>663201.444451746</v>
      </c>
      <c r="K137" s="10" t="n">
        <f aca="false">1-(1-H137)/(1-Inputs!$B$50)</f>
        <v>0.336089494163424</v>
      </c>
    </row>
    <row r="138" customFormat="false" ht="15" hidden="false" customHeight="false" outlineLevel="0" collapsed="false">
      <c r="B138" s="10" t="n">
        <v>0.62</v>
      </c>
      <c r="D138" s="21" t="n">
        <f aca="false">Rate_Card!$I$36*Rate_Card!$K$36*(((1-$B138)/(1-Inputs!$B$6))+Rate_Card!$L$36*(1-((1-$B138)/(1-Inputs!$B$6))))+Rate_Card!$I$37*Rate_Card!$K$37*(((1-$B138)/(1-Inputs!$B$6))+Rate_Card!$L$37*(1-((1-$B138)/(1-Inputs!$B$6))))+Rate_Card!$I$38*Rate_Card!$K$38*(((1-$B138)/(1-Inputs!$B$6))+Rate_Card!$L$38*(1-((1-$B138)/(1-Inputs!$B$6))))+Rate_Card!$I$39*Rate_Card!$K$39*(((1-$B138)/(1-Inputs!$B$6))+Rate_Card!$L$39*(1-((1-$B138)/(1-Inputs!$B$6))))</f>
        <v>0.506436705124898</v>
      </c>
      <c r="E138" s="21" t="n">
        <f aca="false">Rate_Card!$I$36*Rate_Card!$K$36*(1-$B138)+Rate_Card!$I$37*Rate_Card!$K$37*(1-$B138)+Rate_Card!$I$38*Rate_Card!$K$38*(1-$B138)+Rate_Card!$I$39*Rate_Card!$K$39*(1-$B138)</f>
        <v>0.246367578944127</v>
      </c>
      <c r="F138" s="10" t="n">
        <f aca="false">1-E138/D138</f>
        <v>0.513527403422768</v>
      </c>
      <c r="G138" s="21" t="n">
        <f aca="false">D138-E138</f>
        <v>0.260069126180771</v>
      </c>
      <c r="H138" s="10" t="n">
        <f aca="false">MIN(1-(1-$B138)/(((1-$B138)/(1-Inputs!$B$6))+Rate_Card!$L$36*(1-((1-$B138)/(1-Inputs!$B$6)))),1-(1-$B138)/(((1-$B138)/(1-Inputs!$B$6))+Rate_Card!$L$37*(1-((1-$B138)/(1-Inputs!$B$6)))),1-(1-$B138)/(((1-$B138)/(1-Inputs!$B$6))+Rate_Card!$L$38*(1-((1-$B138)/(1-Inputs!$B$6)))),1-(1-$B138)/(((1-$B138)/(1-Inputs!$B$6))+Rate_Card!$L$39*(1-((1-$B138)/(1-Inputs!$B$6)))))</f>
        <v>0.476377952755906</v>
      </c>
      <c r="I138" s="16" t="n">
        <f aca="false">Forecast_12M!$N$11*D138/Rate_Card!$B$42</f>
        <v>1332317.09787142</v>
      </c>
      <c r="J138" s="16" t="n">
        <f aca="false">I138-Forecast_12M!$N$5*E138</f>
        <v>668991.648636015</v>
      </c>
      <c r="K138" s="10" t="n">
        <f aca="false">1-(1-H138)/(1-Inputs!$B$50)</f>
        <v>0.345472440944882</v>
      </c>
    </row>
    <row r="139" customFormat="false" ht="15" hidden="false" customHeight="false" outlineLevel="0" collapsed="false">
      <c r="B139" s="10" t="n">
        <v>0.63</v>
      </c>
      <c r="D139" s="21" t="n">
        <f aca="false">Rate_Card!$I$36*Rate_Card!$K$36*(((1-$B139)/(1-Inputs!$B$6))+Rate_Card!$L$36*(1-((1-$B139)/(1-Inputs!$B$6))))+Rate_Card!$I$37*Rate_Card!$K$37*(((1-$B139)/(1-Inputs!$B$6))+Rate_Card!$L$37*(1-((1-$B139)/(1-Inputs!$B$6))))+Rate_Card!$I$38*Rate_Card!$K$38*(((1-$B139)/(1-Inputs!$B$6))+Rate_Card!$L$38*(1-((1-$B139)/(1-Inputs!$B$6))))+Rate_Card!$I$39*Rate_Card!$K$39*(((1-$B139)/(1-Inputs!$B$6))+Rate_Card!$L$39*(1-((1-$B139)/(1-Inputs!$B$6))))</f>
        <v>0.502002360470567</v>
      </c>
      <c r="E139" s="21" t="n">
        <f aca="false">Rate_Card!$I$36*Rate_Card!$K$36*(1-$B139)+Rate_Card!$I$37*Rate_Card!$K$37*(1-$B139)+Rate_Card!$I$38*Rate_Card!$K$38*(1-$B139)+Rate_Card!$I$39*Rate_Card!$K$39*(1-$B139)</f>
        <v>0.239884221603492</v>
      </c>
      <c r="F139" s="10" t="n">
        <f aca="false">1-E139/D139</f>
        <v>0.522145231790087</v>
      </c>
      <c r="G139" s="21" t="n">
        <f aca="false">D139-E139</f>
        <v>0.262118138867075</v>
      </c>
      <c r="H139" s="10" t="n">
        <f aca="false">MIN(1-(1-$B139)/(((1-$B139)/(1-Inputs!$B$6))+Rate_Card!$L$36*(1-((1-$B139)/(1-Inputs!$B$6)))),1-(1-$B139)/(((1-$B139)/(1-Inputs!$B$6))+Rate_Card!$L$37*(1-((1-$B139)/(1-Inputs!$B$6)))),1-(1-$B139)/(((1-$B139)/(1-Inputs!$B$6))+Rate_Card!$L$38*(1-((1-$B139)/(1-Inputs!$B$6)))),1-(1-$B139)/(((1-$B139)/(1-Inputs!$B$6))+Rate_Card!$L$39*(1-((1-$B139)/(1-Inputs!$B$6)))))</f>
        <v>0.48406374501992</v>
      </c>
      <c r="I139" s="16" t="n">
        <f aca="false">Forecast_12M!$N$11*D139/Rate_Card!$B$42</f>
        <v>1320651.36918107</v>
      </c>
      <c r="J139" s="16" t="n">
        <f aca="false">I139-Forecast_12M!$N$5*E139</f>
        <v>674781.852820285</v>
      </c>
      <c r="K139" s="10" t="n">
        <f aca="false">1-(1-H139)/(1-Inputs!$B$50)</f>
        <v>0.3550796812749</v>
      </c>
    </row>
    <row r="140" customFormat="false" ht="15" hidden="false" customHeight="false" outlineLevel="0" collapsed="false">
      <c r="B140" s="10" t="n">
        <v>0.64</v>
      </c>
      <c r="D140" s="21" t="n">
        <f aca="false">Rate_Card!$I$36*Rate_Card!$K$36*(((1-$B140)/(1-Inputs!$B$6))+Rate_Card!$L$36*(1-((1-$B140)/(1-Inputs!$B$6))))+Rate_Card!$I$37*Rate_Card!$K$37*(((1-$B140)/(1-Inputs!$B$6))+Rate_Card!$L$37*(1-((1-$B140)/(1-Inputs!$B$6))))+Rate_Card!$I$38*Rate_Card!$K$38*(((1-$B140)/(1-Inputs!$B$6))+Rate_Card!$L$38*(1-((1-$B140)/(1-Inputs!$B$6))))+Rate_Card!$I$39*Rate_Card!$K$39*(((1-$B140)/(1-Inputs!$B$6))+Rate_Card!$L$39*(1-((1-$B140)/(1-Inputs!$B$6))))</f>
        <v>0.497568015816236</v>
      </c>
      <c r="E140" s="21" t="n">
        <f aca="false">Rate_Card!$I$36*Rate_Card!$K$36*(1-$B140)+Rate_Card!$I$37*Rate_Card!$K$37*(1-$B140)+Rate_Card!$I$38*Rate_Card!$K$38*(1-$B140)+Rate_Card!$I$39*Rate_Card!$K$39*(1-$B140)</f>
        <v>0.233400864262857</v>
      </c>
      <c r="F140" s="10" t="n">
        <f aca="false">1-E140/D140</f>
        <v>0.53091666497097</v>
      </c>
      <c r="G140" s="21" t="n">
        <f aca="false">D140-E140</f>
        <v>0.264167151553379</v>
      </c>
      <c r="H140" s="10" t="n">
        <f aca="false">MIN(1-(1-$B140)/(((1-$B140)/(1-Inputs!$B$6))+Rate_Card!$L$36*(1-((1-$B140)/(1-Inputs!$B$6)))),1-(1-$B140)/(((1-$B140)/(1-Inputs!$B$6))+Rate_Card!$L$37*(1-((1-$B140)/(1-Inputs!$B$6)))),1-(1-$B140)/(((1-$B140)/(1-Inputs!$B$6))+Rate_Card!$L$38*(1-((1-$B140)/(1-Inputs!$B$6)))),1-(1-$B140)/(((1-$B140)/(1-Inputs!$B$6))+Rate_Card!$L$39*(1-((1-$B140)/(1-Inputs!$B$6)))))</f>
        <v>0.491935483870968</v>
      </c>
      <c r="I140" s="16" t="n">
        <f aca="false">Forecast_12M!$N$11*D140/Rate_Card!$B$42</f>
        <v>1308985.64049072</v>
      </c>
      <c r="J140" s="16" t="n">
        <f aca="false">I140-Forecast_12M!$N$5*E140</f>
        <v>680572.057004554</v>
      </c>
      <c r="K140" s="10" t="n">
        <f aca="false">1-(1-H140)/(1-Inputs!$B$50)</f>
        <v>0.36491935483871</v>
      </c>
    </row>
    <row r="141" customFormat="false" ht="15" hidden="false" customHeight="false" outlineLevel="0" collapsed="false">
      <c r="B141" s="10" t="n">
        <v>0.65</v>
      </c>
      <c r="D141" s="21" t="n">
        <f aca="false">Rate_Card!$I$36*Rate_Card!$K$36*(((1-$B141)/(1-Inputs!$B$6))+Rate_Card!$L$36*(1-((1-$B141)/(1-Inputs!$B$6))))+Rate_Card!$I$37*Rate_Card!$K$37*(((1-$B141)/(1-Inputs!$B$6))+Rate_Card!$L$37*(1-((1-$B141)/(1-Inputs!$B$6))))+Rate_Card!$I$38*Rate_Card!$K$38*(((1-$B141)/(1-Inputs!$B$6))+Rate_Card!$L$38*(1-((1-$B141)/(1-Inputs!$B$6))))+Rate_Card!$I$39*Rate_Card!$K$39*(((1-$B141)/(1-Inputs!$B$6))+Rate_Card!$L$39*(1-((1-$B141)/(1-Inputs!$B$6))))</f>
        <v>0.493133671161905</v>
      </c>
      <c r="E141" s="21" t="n">
        <f aca="false">Rate_Card!$I$36*Rate_Card!$K$36*(1-$B141)+Rate_Card!$I$37*Rate_Card!$K$37*(1-$B141)+Rate_Card!$I$38*Rate_Card!$K$38*(1-$B141)+Rate_Card!$I$39*Rate_Card!$K$39*(1-$B141)</f>
        <v>0.226917506922222</v>
      </c>
      <c r="F141" s="10" t="n">
        <f aca="false">1-E141/D141</f>
        <v>0.53984584668987</v>
      </c>
      <c r="G141" s="21" t="n">
        <f aca="false">D141-E141</f>
        <v>0.266216164239683</v>
      </c>
      <c r="H141" s="10" t="n">
        <f aca="false">MIN(1-(1-$B141)/(((1-$B141)/(1-Inputs!$B$6))+Rate_Card!$L$36*(1-((1-$B141)/(1-Inputs!$B$6)))),1-(1-$B141)/(((1-$B141)/(1-Inputs!$B$6))+Rate_Card!$L$37*(1-((1-$B141)/(1-Inputs!$B$6)))),1-(1-$B141)/(((1-$B141)/(1-Inputs!$B$6))+Rate_Card!$L$38*(1-((1-$B141)/(1-Inputs!$B$6)))),1-(1-$B141)/(((1-$B141)/(1-Inputs!$B$6))+Rate_Card!$L$39*(1-((1-$B141)/(1-Inputs!$B$6)))))</f>
        <v>0.5</v>
      </c>
      <c r="I141" s="16" t="n">
        <f aca="false">Forecast_12M!$N$11*D141/Rate_Card!$B$42</f>
        <v>1297319.91180038</v>
      </c>
      <c r="J141" s="16" t="n">
        <f aca="false">I141-Forecast_12M!$N$5*E141</f>
        <v>686362.261188824</v>
      </c>
      <c r="K141" s="10" t="n">
        <f aca="false">1-(1-H141)/(1-Inputs!$B$50)</f>
        <v>0.375</v>
      </c>
    </row>
    <row r="142" customFormat="false" ht="15" hidden="false" customHeight="false" outlineLevel="0" collapsed="false">
      <c r="B142" s="10" t="n">
        <v>0.66</v>
      </c>
      <c r="D142" s="21" t="n">
        <f aca="false">Rate_Card!$I$36*Rate_Card!$K$36*(((1-$B142)/(1-Inputs!$B$6))+Rate_Card!$L$36*(1-((1-$B142)/(1-Inputs!$B$6))))+Rate_Card!$I$37*Rate_Card!$K$37*(((1-$B142)/(1-Inputs!$B$6))+Rate_Card!$L$37*(1-((1-$B142)/(1-Inputs!$B$6))))+Rate_Card!$I$38*Rate_Card!$K$38*(((1-$B142)/(1-Inputs!$B$6))+Rate_Card!$L$38*(1-((1-$B142)/(1-Inputs!$B$6))))+Rate_Card!$I$39*Rate_Card!$K$39*(((1-$B142)/(1-Inputs!$B$6))+Rate_Card!$L$39*(1-((1-$B142)/(1-Inputs!$B$6))))</f>
        <v>0.488699326507574</v>
      </c>
      <c r="E142" s="21" t="n">
        <f aca="false">Rate_Card!$I$36*Rate_Card!$K$36*(1-$B142)+Rate_Card!$I$37*Rate_Card!$K$37*(1-$B142)+Rate_Card!$I$38*Rate_Card!$K$38*(1-$B142)+Rate_Card!$I$39*Rate_Card!$K$39*(1-$B142)</f>
        <v>0.220434149581587</v>
      </c>
      <c r="F142" s="10" t="n">
        <f aca="false">1-E142/D142</f>
        <v>0.54893707106803</v>
      </c>
      <c r="G142" s="21" t="n">
        <f aca="false">D142-E142</f>
        <v>0.268265176925986</v>
      </c>
      <c r="H142" s="10" t="n">
        <f aca="false">MIN(1-(1-$B142)/(((1-$B142)/(1-Inputs!$B$6))+Rate_Card!$L$36*(1-((1-$B142)/(1-Inputs!$B$6)))),1-(1-$B142)/(((1-$B142)/(1-Inputs!$B$6))+Rate_Card!$L$37*(1-((1-$B142)/(1-Inputs!$B$6)))),1-(1-$B142)/(((1-$B142)/(1-Inputs!$B$6))+Rate_Card!$L$38*(1-((1-$B142)/(1-Inputs!$B$6)))),1-(1-$B142)/(((1-$B142)/(1-Inputs!$B$6))+Rate_Card!$L$39*(1-((1-$B142)/(1-Inputs!$B$6)))))</f>
        <v>0.508264462809917</v>
      </c>
      <c r="I142" s="16" t="n">
        <f aca="false">Forecast_12M!$N$11*D142/Rate_Card!$B$42</f>
        <v>1285654.18311003</v>
      </c>
      <c r="J142" s="16" t="n">
        <f aca="false">I142-Forecast_12M!$N$5*E142</f>
        <v>692152.465373093</v>
      </c>
      <c r="K142" s="10" t="n">
        <f aca="false">1-(1-H142)/(1-Inputs!$B$50)</f>
        <v>0.385330578512397</v>
      </c>
    </row>
    <row r="143" customFormat="false" ht="15" hidden="false" customHeight="false" outlineLevel="0" collapsed="false">
      <c r="B143" s="10" t="n">
        <v>0.67</v>
      </c>
      <c r="D143" s="21" t="n">
        <f aca="false">Rate_Card!$I$36*Rate_Card!$K$36*(((1-$B143)/(1-Inputs!$B$6))+Rate_Card!$L$36*(1-((1-$B143)/(1-Inputs!$B$6))))+Rate_Card!$I$37*Rate_Card!$K$37*(((1-$B143)/(1-Inputs!$B$6))+Rate_Card!$L$37*(1-((1-$B143)/(1-Inputs!$B$6))))+Rate_Card!$I$38*Rate_Card!$K$38*(((1-$B143)/(1-Inputs!$B$6))+Rate_Card!$L$38*(1-((1-$B143)/(1-Inputs!$B$6))))+Rate_Card!$I$39*Rate_Card!$K$39*(((1-$B143)/(1-Inputs!$B$6))+Rate_Card!$L$39*(1-((1-$B143)/(1-Inputs!$B$6))))</f>
        <v>0.484264981853243</v>
      </c>
      <c r="E143" s="21" t="n">
        <f aca="false">Rate_Card!$I$36*Rate_Card!$K$36*(1-$B143)+Rate_Card!$I$37*Rate_Card!$K$37*(1-$B143)+Rate_Card!$I$38*Rate_Card!$K$38*(1-$B143)+Rate_Card!$I$39*Rate_Card!$K$39*(1-$B143)</f>
        <v>0.213950792240952</v>
      </c>
      <c r="F143" s="10" t="n">
        <f aca="false">1-E143/D143</f>
        <v>0.558194789509289</v>
      </c>
      <c r="G143" s="21" t="n">
        <f aca="false">D143-E143</f>
        <v>0.27031418961229</v>
      </c>
      <c r="H143" s="10" t="n">
        <f aca="false">MIN(1-(1-$B143)/(((1-$B143)/(1-Inputs!$B$6))+Rate_Card!$L$36*(1-((1-$B143)/(1-Inputs!$B$6)))),1-(1-$B143)/(((1-$B143)/(1-Inputs!$B$6))+Rate_Card!$L$37*(1-((1-$B143)/(1-Inputs!$B$6)))),1-(1-$B143)/(((1-$B143)/(1-Inputs!$B$6))+Rate_Card!$L$38*(1-((1-$B143)/(1-Inputs!$B$6)))),1-(1-$B143)/(((1-$B143)/(1-Inputs!$B$6))+Rate_Card!$L$39*(1-((1-$B143)/(1-Inputs!$B$6)))))</f>
        <v>0.51673640167364</v>
      </c>
      <c r="I143" s="16" t="n">
        <f aca="false">Forecast_12M!$N$11*D143/Rate_Card!$B$42</f>
        <v>1273988.45441968</v>
      </c>
      <c r="J143" s="16" t="n">
        <f aca="false">I143-Forecast_12M!$N$5*E143</f>
        <v>697942.669557363</v>
      </c>
      <c r="K143" s="10" t="n">
        <f aca="false">1-(1-H143)/(1-Inputs!$B$50)</f>
        <v>0.39592050209205</v>
      </c>
    </row>
    <row r="144" customFormat="false" ht="15" hidden="false" customHeight="false" outlineLevel="0" collapsed="false">
      <c r="B144" s="10" t="n">
        <v>0.68</v>
      </c>
      <c r="D144" s="21" t="n">
        <f aca="false">Rate_Card!$I$36*Rate_Card!$K$36*(((1-$B144)/(1-Inputs!$B$6))+Rate_Card!$L$36*(1-((1-$B144)/(1-Inputs!$B$6))))+Rate_Card!$I$37*Rate_Card!$K$37*(((1-$B144)/(1-Inputs!$B$6))+Rate_Card!$L$37*(1-((1-$B144)/(1-Inputs!$B$6))))+Rate_Card!$I$38*Rate_Card!$K$38*(((1-$B144)/(1-Inputs!$B$6))+Rate_Card!$L$38*(1-((1-$B144)/(1-Inputs!$B$6))))+Rate_Card!$I$39*Rate_Card!$K$39*(((1-$B144)/(1-Inputs!$B$6))+Rate_Card!$L$39*(1-((1-$B144)/(1-Inputs!$B$6))))</f>
        <v>0.479830637198912</v>
      </c>
      <c r="E144" s="21" t="n">
        <f aca="false">Rate_Card!$I$36*Rate_Card!$K$36*(1-$B144)+Rate_Card!$I$37*Rate_Card!$K$37*(1-$B144)+Rate_Card!$I$38*Rate_Card!$K$38*(1-$B144)+Rate_Card!$I$39*Rate_Card!$K$39*(1-$B144)</f>
        <v>0.207467434900317</v>
      </c>
      <c r="F144" s="10" t="n">
        <f aca="false">1-E144/D144</f>
        <v>0.567623617967702</v>
      </c>
      <c r="G144" s="21" t="n">
        <f aca="false">D144-E144</f>
        <v>0.272363202298594</v>
      </c>
      <c r="H144" s="10" t="n">
        <f aca="false">MIN(1-(1-$B144)/(((1-$B144)/(1-Inputs!$B$6))+Rate_Card!$L$36*(1-((1-$B144)/(1-Inputs!$B$6)))),1-(1-$B144)/(((1-$B144)/(1-Inputs!$B$6))+Rate_Card!$L$37*(1-((1-$B144)/(1-Inputs!$B$6)))),1-(1-$B144)/(((1-$B144)/(1-Inputs!$B$6))+Rate_Card!$L$38*(1-((1-$B144)/(1-Inputs!$B$6)))),1-(1-$B144)/(((1-$B144)/(1-Inputs!$B$6))+Rate_Card!$L$39*(1-((1-$B144)/(1-Inputs!$B$6)))))</f>
        <v>0.52542372881356</v>
      </c>
      <c r="I144" s="16" t="n">
        <f aca="false">Forecast_12M!$N$11*D144/Rate_Card!$B$42</f>
        <v>1262322.72572934</v>
      </c>
      <c r="J144" s="16" t="n">
        <f aca="false">I144-Forecast_12M!$N$5*E144</f>
        <v>703732.873741632</v>
      </c>
      <c r="K144" s="10" t="n">
        <f aca="false">1-(1-H144)/(1-Inputs!$B$50)</f>
        <v>0.406779661016949</v>
      </c>
    </row>
    <row r="145" customFormat="false" ht="15" hidden="false" customHeight="false" outlineLevel="0" collapsed="false">
      <c r="B145" s="10" t="n">
        <v>0.69</v>
      </c>
      <c r="D145" s="21" t="n">
        <f aca="false">Rate_Card!$I$36*Rate_Card!$K$36*(((1-$B145)/(1-Inputs!$B$6))+Rate_Card!$L$36*(1-((1-$B145)/(1-Inputs!$B$6))))+Rate_Card!$I$37*Rate_Card!$K$37*(((1-$B145)/(1-Inputs!$B$6))+Rate_Card!$L$37*(1-((1-$B145)/(1-Inputs!$B$6))))+Rate_Card!$I$38*Rate_Card!$K$38*(((1-$B145)/(1-Inputs!$B$6))+Rate_Card!$L$38*(1-((1-$B145)/(1-Inputs!$B$6))))+Rate_Card!$I$39*Rate_Card!$K$39*(((1-$B145)/(1-Inputs!$B$6))+Rate_Card!$L$39*(1-((1-$B145)/(1-Inputs!$B$6))))</f>
        <v>0.475396292544581</v>
      </c>
      <c r="E145" s="21" t="n">
        <f aca="false">Rate_Card!$I$36*Rate_Card!$K$36*(1-$B145)+Rate_Card!$I$37*Rate_Card!$K$37*(1-$B145)+Rate_Card!$I$38*Rate_Card!$K$38*(1-$B145)+Rate_Card!$I$39*Rate_Card!$K$39*(1-$B145)</f>
        <v>0.200984077559683</v>
      </c>
      <c r="F145" s="10" t="n">
        <f aca="false">1-E145/D145</f>
        <v>0.577228344621903</v>
      </c>
      <c r="G145" s="21" t="n">
        <f aca="false">D145-E145</f>
        <v>0.274412214984898</v>
      </c>
      <c r="H145" s="10" t="n">
        <f aca="false">MIN(1-(1-$B145)/(((1-$B145)/(1-Inputs!$B$6))+Rate_Card!$L$36*(1-((1-$B145)/(1-Inputs!$B$6)))),1-(1-$B145)/(((1-$B145)/(1-Inputs!$B$6))+Rate_Card!$L$37*(1-((1-$B145)/(1-Inputs!$B$6)))),1-(1-$B145)/(((1-$B145)/(1-Inputs!$B$6))+Rate_Card!$L$38*(1-((1-$B145)/(1-Inputs!$B$6)))),1-(1-$B145)/(((1-$B145)/(1-Inputs!$B$6))+Rate_Card!$L$39*(1-((1-$B145)/(1-Inputs!$B$6)))))</f>
        <v>0.534334763948498</v>
      </c>
      <c r="I145" s="16" t="n">
        <f aca="false">Forecast_12M!$N$11*D145/Rate_Card!$B$42</f>
        <v>1250656.99703899</v>
      </c>
      <c r="J145" s="16" t="n">
        <f aca="false">I145-Forecast_12M!$N$5*E145</f>
        <v>709523.077925901</v>
      </c>
      <c r="K145" s="10" t="n">
        <f aca="false">1-(1-H145)/(1-Inputs!$B$50)</f>
        <v>0.417918454935622</v>
      </c>
    </row>
    <row r="146" customFormat="false" ht="15" hidden="false" customHeight="false" outlineLevel="0" collapsed="false">
      <c r="B146" s="10" t="n">
        <v>0.7</v>
      </c>
      <c r="D146" s="21" t="n">
        <f aca="false">Rate_Card!$I$36*Rate_Card!$K$36*(((1-$B146)/(1-Inputs!$B$6))+Rate_Card!$L$36*(1-((1-$B146)/(1-Inputs!$B$6))))+Rate_Card!$I$37*Rate_Card!$K$37*(((1-$B146)/(1-Inputs!$B$6))+Rate_Card!$L$37*(1-((1-$B146)/(1-Inputs!$B$6))))+Rate_Card!$I$38*Rate_Card!$K$38*(((1-$B146)/(1-Inputs!$B$6))+Rate_Card!$L$38*(1-((1-$B146)/(1-Inputs!$B$6))))+Rate_Card!$I$39*Rate_Card!$K$39*(((1-$B146)/(1-Inputs!$B$6))+Rate_Card!$L$39*(1-((1-$B146)/(1-Inputs!$B$6))))</f>
        <v>0.47096194789025</v>
      </c>
      <c r="E146" s="21" t="n">
        <f aca="false">Rate_Card!$I$36*Rate_Card!$K$36*(1-$B146)+Rate_Card!$I$37*Rate_Card!$K$37*(1-$B146)+Rate_Card!$I$38*Rate_Card!$K$38*(1-$B146)+Rate_Card!$I$39*Rate_Card!$K$39*(1-$B146)</f>
        <v>0.194500720219048</v>
      </c>
      <c r="F146" s="10" t="n">
        <f aca="false">1-E146/D146</f>
        <v>0.587013937983004</v>
      </c>
      <c r="G146" s="21" t="n">
        <f aca="false">D146-E146</f>
        <v>0.276461227671202</v>
      </c>
      <c r="H146" s="10" t="n">
        <f aca="false">MIN(1-(1-$B146)/(((1-$B146)/(1-Inputs!$B$6))+Rate_Card!$L$36*(1-((1-$B146)/(1-Inputs!$B$6)))),1-(1-$B146)/(((1-$B146)/(1-Inputs!$B$6))+Rate_Card!$L$37*(1-((1-$B146)/(1-Inputs!$B$6)))),1-(1-$B146)/(((1-$B146)/(1-Inputs!$B$6))+Rate_Card!$L$38*(1-((1-$B146)/(1-Inputs!$B$6)))),1-(1-$B146)/(((1-$B146)/(1-Inputs!$B$6))+Rate_Card!$L$39*(1-((1-$B146)/(1-Inputs!$B$6)))))</f>
        <v>0.543478260869565</v>
      </c>
      <c r="I146" s="16" t="n">
        <f aca="false">Forecast_12M!$N$11*D146/Rate_Card!$B$42</f>
        <v>1238991.26834865</v>
      </c>
      <c r="J146" s="16" t="n">
        <f aca="false">I146-Forecast_12M!$N$5*E146</f>
        <v>715313.282110171</v>
      </c>
      <c r="K146" s="10" t="n">
        <f aca="false">1-(1-H146)/(1-Inputs!$B$50)</f>
        <v>0.429347826086957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4" min="2" style="0" width="13"/>
  </cols>
  <sheetData>
    <row r="1" customFormat="false" ht="17.35" hidden="false" customHeight="false" outlineLevel="0" collapsed="false">
      <c r="A1" s="1" t="s">
        <v>456</v>
      </c>
    </row>
    <row r="2" customFormat="false" ht="15" hidden="false" customHeight="false" outlineLevel="0" collapsed="false">
      <c r="A2" s="2" t="s">
        <v>457</v>
      </c>
    </row>
    <row r="4" customFormat="false" ht="15" hidden="false" customHeight="false" outlineLevel="0" collapsed="false">
      <c r="A4" s="6" t="s">
        <v>336</v>
      </c>
      <c r="B4" s="39" t="n">
        <v>1</v>
      </c>
      <c r="C4" s="39" t="n">
        <v>2</v>
      </c>
      <c r="D4" s="39" t="n">
        <v>3</v>
      </c>
      <c r="E4" s="39" t="n">
        <v>4</v>
      </c>
      <c r="F4" s="39" t="n">
        <v>5</v>
      </c>
      <c r="G4" s="39" t="n">
        <v>6</v>
      </c>
      <c r="H4" s="39" t="n">
        <v>7</v>
      </c>
      <c r="I4" s="39" t="n">
        <v>8</v>
      </c>
      <c r="J4" s="39" t="n">
        <v>9</v>
      </c>
      <c r="K4" s="39" t="n">
        <v>10</v>
      </c>
      <c r="L4" s="39" t="n">
        <v>11</v>
      </c>
      <c r="M4" s="39" t="n">
        <v>12</v>
      </c>
      <c r="N4" s="39" t="s">
        <v>458</v>
      </c>
    </row>
    <row r="5" customFormat="false" ht="15" hidden="false" customHeight="false" outlineLevel="0" collapsed="false">
      <c r="A5" s="5" t="s">
        <v>459</v>
      </c>
      <c r="B5" s="23" t="n">
        <f aca="false">Inputs!$B$55</f>
        <v>60000</v>
      </c>
      <c r="C5" s="23" t="n">
        <f aca="false">B5*(1+Inputs!$B$56)</f>
        <v>73200</v>
      </c>
      <c r="D5" s="23" t="n">
        <f aca="false">C5*(1+Inputs!$B$56)</f>
        <v>89304</v>
      </c>
      <c r="E5" s="23" t="n">
        <f aca="false">D5*(1+Inputs!$B$56)</f>
        <v>108950.88</v>
      </c>
      <c r="F5" s="23" t="n">
        <f aca="false">E5*(1+Inputs!$B$56)</f>
        <v>132920.0736</v>
      </c>
      <c r="G5" s="23" t="n">
        <f aca="false">F5*(1+Inputs!$B$56)</f>
        <v>162162.489792</v>
      </c>
      <c r="H5" s="23" t="n">
        <f aca="false">G5*(1+Inputs!$B$56)</f>
        <v>197838.23754624</v>
      </c>
      <c r="I5" s="23" t="n">
        <f aca="false">H5*(1+Inputs!$B$56)</f>
        <v>241362.649806413</v>
      </c>
      <c r="J5" s="23" t="n">
        <f aca="false">I5*(1+Inputs!$B$56)</f>
        <v>294462.432763824</v>
      </c>
      <c r="K5" s="23" t="n">
        <f aca="false">J5*(1+Inputs!$B$56)</f>
        <v>359244.167971865</v>
      </c>
      <c r="L5" s="23" t="n">
        <f aca="false">K5*(1+Inputs!$B$56)</f>
        <v>438277.884925675</v>
      </c>
      <c r="M5" s="23" t="n">
        <f aca="false">L5*(1+Inputs!$B$56)</f>
        <v>534699.019609324</v>
      </c>
      <c r="N5" s="23" t="n">
        <f aca="false">SUM(B5:M5)</f>
        <v>2692421.83601534</v>
      </c>
    </row>
    <row r="6" customFormat="false" ht="15" hidden="false" customHeight="false" outlineLevel="0" collapsed="false">
      <c r="A6" s="5" t="s">
        <v>460</v>
      </c>
      <c r="B6" s="23" t="n">
        <f aca="false">Inputs!$B$57</f>
        <v>15</v>
      </c>
      <c r="C6" s="23" t="n">
        <f aca="false">B6*(1+Inputs!$B$58)</f>
        <v>16.8</v>
      </c>
      <c r="D6" s="23" t="n">
        <f aca="false">C6*(1+Inputs!$B$58)</f>
        <v>18.816</v>
      </c>
      <c r="E6" s="23" t="n">
        <f aca="false">D6*(1+Inputs!$B$58)</f>
        <v>21.07392</v>
      </c>
      <c r="F6" s="23" t="n">
        <f aca="false">E6*(1+Inputs!$B$58)</f>
        <v>23.6027904</v>
      </c>
      <c r="G6" s="23" t="n">
        <f aca="false">F6*(1+Inputs!$B$58)</f>
        <v>26.435125248</v>
      </c>
      <c r="H6" s="23" t="n">
        <f aca="false">G6*(1+Inputs!$B$58)</f>
        <v>29.60734027776</v>
      </c>
      <c r="I6" s="23" t="n">
        <f aca="false">H6*(1+Inputs!$B$58)</f>
        <v>33.1602211110912</v>
      </c>
      <c r="J6" s="23" t="n">
        <f aca="false">I6*(1+Inputs!$B$58)</f>
        <v>37.1394476444222</v>
      </c>
      <c r="K6" s="23" t="n">
        <f aca="false">J6*(1+Inputs!$B$58)</f>
        <v>41.5961813617528</v>
      </c>
      <c r="L6" s="23" t="n">
        <f aca="false">K6*(1+Inputs!$B$58)</f>
        <v>46.5877231251632</v>
      </c>
      <c r="M6" s="23" t="n">
        <f aca="false">L6*(1+Inputs!$B$58)</f>
        <v>52.1782499001828</v>
      </c>
      <c r="N6" s="23" t="n">
        <f aca="false">M6</f>
        <v>52.1782499001828</v>
      </c>
    </row>
    <row r="7" customFormat="false" ht="15" hidden="false" customHeight="false" outlineLevel="0" collapsed="false">
      <c r="A7" s="5" t="s">
        <v>461</v>
      </c>
      <c r="B7" s="10" t="n">
        <f aca="false">1</f>
        <v>1</v>
      </c>
      <c r="C7" s="10" t="n">
        <f aca="false">1+((2-1)/11)^Inputs!$B$60*(Inputs!$B$43-1)</f>
        <v>0.999042214725179</v>
      </c>
      <c r="D7" s="10" t="n">
        <f aca="false">1+((3-1)/11)^Inputs!$B$60*(Inputs!$B$43-1)</f>
        <v>0.993556814366563</v>
      </c>
      <c r="E7" s="10" t="n">
        <f aca="false">1+((4-1)/11)^Inputs!$B$60*(Inputs!$B$43-1)</f>
        <v>0.980350495362987</v>
      </c>
      <c r="F7" s="10" t="n">
        <f aca="false">1+((5-1)/11)^Inputs!$B$60*(Inputs!$B$43-1)</f>
        <v>0.956655586384229</v>
      </c>
      <c r="G7" s="10" t="n">
        <f aca="false">1+((6-1)/11)^Inputs!$B$60*(Inputs!$B$43-1)</f>
        <v>0.9199362979018</v>
      </c>
      <c r="H7" s="10" t="n">
        <f aca="false">1+((7-1)/11)^Inputs!$B$60*(Inputs!$B$43-1)</f>
        <v>0.867814415913797</v>
      </c>
      <c r="I7" s="10" t="n">
        <f aca="false">1+((8-1)/11)^Inputs!$B$60*(Inputs!$B$43-1)</f>
        <v>0.798029581269363</v>
      </c>
      <c r="J7" s="10" t="n">
        <f aca="false">1+((9-1)/11)^Inputs!$B$60*(Inputs!$B$43-1)</f>
        <v>0.708414703753791</v>
      </c>
      <c r="K7" s="10" t="n">
        <f aca="false">1+((10-1)/11)^Inputs!$B$60*(Inputs!$B$43-1)</f>
        <v>0.596879339628372</v>
      </c>
      <c r="L7" s="10" t="n">
        <f aca="false">1+((11-1)/11)^Inputs!$B$60*(Inputs!$B$43-1)</f>
        <v>0.461397759309458</v>
      </c>
      <c r="M7" s="10" t="n">
        <f aca="false">1+((12-1)/11)^Inputs!$B$60*(Inputs!$B$43-1)</f>
        <v>0.3</v>
      </c>
    </row>
    <row r="8" customFormat="false" ht="15" hidden="false" customHeight="false" outlineLevel="0" collapsed="false">
      <c r="A8" s="5" t="s">
        <v>462</v>
      </c>
      <c r="B8" s="10" t="n">
        <f aca="false">0</f>
        <v>0</v>
      </c>
      <c r="C8" s="10" t="n">
        <f aca="false">((2-1)/11)^Inputs!$B$60*Inputs!$B$44</f>
        <v>0.000342066169578864</v>
      </c>
      <c r="D8" s="10" t="n">
        <f aca="false">((3-1)/11)^Inputs!$B$60*Inputs!$B$44</f>
        <v>0.00230113772622749</v>
      </c>
      <c r="E8" s="10" t="n">
        <f aca="false">((4-1)/11)^Inputs!$B$60*Inputs!$B$44</f>
        <v>0.00701768022750459</v>
      </c>
      <c r="F8" s="10" t="n">
        <f aca="false">((5-1)/11)^Inputs!$B$60*Inputs!$B$44</f>
        <v>0.0154801477199182</v>
      </c>
      <c r="G8" s="10" t="n">
        <f aca="false">((6-1)/11)^Inputs!$B$60*Inputs!$B$44</f>
        <v>0.0285941793207857</v>
      </c>
      <c r="H8" s="10" t="n">
        <f aca="false">((7-1)/11)^Inputs!$B$60*Inputs!$B$44</f>
        <v>0.0472091371736439</v>
      </c>
      <c r="I8" s="10" t="n">
        <f aca="false">((8-1)/11)^Inputs!$B$60*Inputs!$B$44</f>
        <v>0.0721322924037988</v>
      </c>
      <c r="J8" s="10" t="n">
        <f aca="false">((9-1)/11)^Inputs!$B$60*Inputs!$B$44</f>
        <v>0.104137605802218</v>
      </c>
      <c r="K8" s="10" t="n">
        <f aca="false">((10-1)/11)^Inputs!$B$60*Inputs!$B$44</f>
        <v>0.143971664418439</v>
      </c>
      <c r="L8" s="10" t="n">
        <f aca="false">((11-1)/11)^Inputs!$B$60*Inputs!$B$44</f>
        <v>0.192357943103765</v>
      </c>
      <c r="M8" s="10" t="n">
        <f aca="false">((12-1)/11)^Inputs!$B$60*Inputs!$B$44</f>
        <v>0.25</v>
      </c>
    </row>
    <row r="9" customFormat="false" ht="15" hidden="false" customHeight="false" outlineLevel="0" collapsed="false">
      <c r="A9" s="5" t="s">
        <v>463</v>
      </c>
      <c r="B9" s="10" t="n">
        <f aca="false">0</f>
        <v>0</v>
      </c>
      <c r="C9" s="10" t="n">
        <f aca="false">((2-1)/11)^Inputs!$B$60*Inputs!$B$45</f>
        <v>0.000615719105241955</v>
      </c>
      <c r="D9" s="10" t="n">
        <f aca="false">((3-1)/11)^Inputs!$B$60*Inputs!$B$45</f>
        <v>0.00414204790720948</v>
      </c>
      <c r="E9" s="10" t="n">
        <f aca="false">((4-1)/11)^Inputs!$B$60*Inputs!$B$45</f>
        <v>0.0126318244095083</v>
      </c>
      <c r="F9" s="10" t="n">
        <f aca="false">((5-1)/11)^Inputs!$B$60*Inputs!$B$45</f>
        <v>0.0278642658958528</v>
      </c>
      <c r="G9" s="10" t="n">
        <f aca="false">((6-1)/11)^Inputs!$B$60*Inputs!$B$45</f>
        <v>0.0514695227774143</v>
      </c>
      <c r="H9" s="10" t="n">
        <f aca="false">((7-1)/11)^Inputs!$B$60*Inputs!$B$45</f>
        <v>0.0849764469125589</v>
      </c>
      <c r="I9" s="10" t="n">
        <f aca="false">((8-1)/11)^Inputs!$B$60*Inputs!$B$45</f>
        <v>0.129838126326838</v>
      </c>
      <c r="J9" s="10" t="n">
        <f aca="false">((9-1)/11)^Inputs!$B$60*Inputs!$B$45</f>
        <v>0.187447690443992</v>
      </c>
      <c r="K9" s="10" t="n">
        <f aca="false">((10-1)/11)^Inputs!$B$60*Inputs!$B$45</f>
        <v>0.259148995953189</v>
      </c>
      <c r="L9" s="10" t="n">
        <f aca="false">((11-1)/11)^Inputs!$B$60*Inputs!$B$45</f>
        <v>0.346244297586777</v>
      </c>
      <c r="M9" s="10" t="n">
        <f aca="false">((12-1)/11)^Inputs!$B$60*Inputs!$B$45</f>
        <v>0.45</v>
      </c>
    </row>
    <row r="10" customFormat="false" ht="15" hidden="false" customHeight="false" outlineLevel="0" collapsed="false">
      <c r="A10" s="5" t="s">
        <v>291</v>
      </c>
      <c r="B10" s="21" t="n">
        <f aca="false">B7*Plan_Economics!$C$33+B8*Plan_Economics!$D$33+B9*Plan_Economics!$E$33</f>
        <v>0.581820564248526</v>
      </c>
      <c r="C10" s="21" t="n">
        <f aca="false">C7*Plan_Economics!$C$33+C8*Plan_Economics!$D$33+C9*Plan_Economics!$E$33</f>
        <v>0.581783914475263</v>
      </c>
      <c r="D10" s="21" t="n">
        <f aca="false">D7*Plan_Economics!$C$33+D8*Plan_Economics!$D$33+D9*Plan_Economics!$E$33</f>
        <v>0.58157401494487</v>
      </c>
      <c r="E10" s="21" t="n">
        <f aca="false">E7*Plan_Economics!$C$33+E8*Plan_Economics!$D$33+E9*Plan_Economics!$E$33</f>
        <v>0.581068673497419</v>
      </c>
      <c r="F10" s="21" t="n">
        <f aca="false">F7*Plan_Economics!$C$33+F8*Plan_Economics!$D$33+F9*Plan_Economics!$E$33</f>
        <v>0.580161984843503</v>
      </c>
      <c r="G10" s="21" t="n">
        <f aca="false">G7*Plan_Economics!$C$33+G8*Plan_Economics!$D$33+G9*Plan_Economics!$E$33</f>
        <v>0.578756916679843</v>
      </c>
      <c r="H10" s="21" t="n">
        <f aca="false">H7*Plan_Economics!$C$33+H8*Plan_Economics!$D$33+H9*Plan_Economics!$E$33</f>
        <v>0.57676246635038</v>
      </c>
      <c r="I10" s="21" t="n">
        <f aca="false">I7*Plan_Economics!$C$33+I8*Plan_Economics!$D$33+I9*Plan_Economics!$E$33</f>
        <v>0.574092140929665</v>
      </c>
      <c r="J10" s="21" t="n">
        <f aca="false">J7*Plan_Economics!$C$33+J8*Plan_Economics!$D$33+J9*Plan_Economics!$E$33</f>
        <v>0.570663016439747</v>
      </c>
      <c r="K10" s="21" t="n">
        <f aca="false">K7*Plan_Economics!$C$33+K8*Plan_Economics!$D$33+K9*Plan_Economics!$E$33</f>
        <v>0.566395101789661</v>
      </c>
      <c r="L10" s="21" t="n">
        <f aca="false">L7*Plan_Economics!$C$33+L8*Plan_Economics!$D$33+L9*Plan_Economics!$E$33</f>
        <v>0.561210882183673</v>
      </c>
      <c r="M10" s="21" t="n">
        <f aca="false">M7*Plan_Economics!$C$33+M8*Plan_Economics!$D$33+M9*Plan_Economics!$E$33</f>
        <v>0.555034976749112</v>
      </c>
    </row>
    <row r="11" customFormat="false" ht="15" hidden="false" customHeight="false" outlineLevel="0" collapsed="false">
      <c r="A11" s="4" t="s">
        <v>464</v>
      </c>
      <c r="B11" s="33" t="n">
        <f aca="false">B5*B10</f>
        <v>34909.2338549116</v>
      </c>
      <c r="C11" s="33" t="n">
        <f aca="false">C5*C10</f>
        <v>42586.5825395892</v>
      </c>
      <c r="D11" s="33" t="n">
        <f aca="false">D5*D10</f>
        <v>51936.8858306367</v>
      </c>
      <c r="E11" s="33" t="n">
        <f aca="false">E5*E10</f>
        <v>63307.9433179765</v>
      </c>
      <c r="F11" s="33" t="n">
        <f aca="false">F5*F10</f>
        <v>77115.1737253205</v>
      </c>
      <c r="G11" s="33" t="n">
        <f aca="false">G5*G10</f>
        <v>93852.6625931444</v>
      </c>
      <c r="H11" s="33" t="n">
        <f aca="false">H5*H10</f>
        <v>114105.669825582</v>
      </c>
      <c r="I11" s="33" t="n">
        <f aca="false">I5*I10</f>
        <v>138564.400367821</v>
      </c>
      <c r="J11" s="33" t="n">
        <f aca="false">J5*J10</f>
        <v>168038.82010919</v>
      </c>
      <c r="K11" s="33" t="n">
        <f aca="false">K5*K10</f>
        <v>203474.137085766</v>
      </c>
      <c r="L11" s="33" t="n">
        <f aca="false">L5*L10</f>
        <v>245966.318440733</v>
      </c>
      <c r="M11" s="33" t="n">
        <f aca="false">M5*M10</f>
        <v>296776.657916634</v>
      </c>
      <c r="N11" s="33" t="n">
        <f aca="false">SUM(B11:M11)</f>
        <v>1530634.4856073</v>
      </c>
    </row>
    <row r="12" customFormat="false" ht="15" hidden="false" customHeight="false" outlineLevel="0" collapsed="false">
      <c r="A12" s="5" t="s">
        <v>243</v>
      </c>
      <c r="B12" s="16" t="n">
        <f aca="false">B5*Plan_Economics!$C$34</f>
        <v>21395.0792240952</v>
      </c>
      <c r="C12" s="16" t="n">
        <f aca="false">C5*Plan_Economics!$C$34</f>
        <v>26101.9966533962</v>
      </c>
      <c r="D12" s="16" t="n">
        <f aca="false">D5*Plan_Economics!$C$34</f>
        <v>31844.4359171434</v>
      </c>
      <c r="E12" s="16" t="n">
        <f aca="false">E5*Plan_Economics!$C$34</f>
        <v>38850.2118189149</v>
      </c>
      <c r="F12" s="16" t="n">
        <f aca="false">F5*Plan_Economics!$C$34</f>
        <v>47397.2584190762</v>
      </c>
      <c r="G12" s="16" t="n">
        <f aca="false">G5*Plan_Economics!$C$34</f>
        <v>57824.6552712729</v>
      </c>
      <c r="H12" s="16" t="n">
        <f aca="false">H5*Plan_Economics!$C$34</f>
        <v>70546.079430953</v>
      </c>
      <c r="I12" s="16" t="n">
        <f aca="false">I5*Plan_Economics!$C$34</f>
        <v>86066.2169057626</v>
      </c>
      <c r="J12" s="16" t="n">
        <f aca="false">J5*Plan_Economics!$C$34</f>
        <v>105000.78462503</v>
      </c>
      <c r="K12" s="16" t="n">
        <f aca="false">K5*Plan_Economics!$C$34</f>
        <v>128100.957242537</v>
      </c>
      <c r="L12" s="16" t="n">
        <f aca="false">L5*Plan_Economics!$C$34</f>
        <v>156283.167835895</v>
      </c>
      <c r="M12" s="16" t="n">
        <f aca="false">M5*Plan_Economics!$C$34</f>
        <v>190665.464759792</v>
      </c>
      <c r="N12" s="16" t="n">
        <f aca="false">SUM(B12:M12)</f>
        <v>960076.308103869</v>
      </c>
    </row>
    <row r="13" customFormat="false" ht="15" hidden="false" customHeight="false" outlineLevel="0" collapsed="false">
      <c r="A13" s="4" t="s">
        <v>245</v>
      </c>
      <c r="B13" s="34" t="n">
        <f aca="false">B11-B12</f>
        <v>13514.1546308163</v>
      </c>
      <c r="C13" s="34" t="n">
        <f aca="false">C11-C12</f>
        <v>16484.585886193</v>
      </c>
      <c r="D13" s="34" t="n">
        <f aca="false">D11-D12</f>
        <v>20092.4499134933</v>
      </c>
      <c r="E13" s="34" t="n">
        <f aca="false">E11-E12</f>
        <v>24457.7314990616</v>
      </c>
      <c r="F13" s="34" t="n">
        <f aca="false">F11-F12</f>
        <v>29717.9153062444</v>
      </c>
      <c r="G13" s="34" t="n">
        <f aca="false">G11-G12</f>
        <v>36028.0073218715</v>
      </c>
      <c r="H13" s="34" t="n">
        <f aca="false">H11-H12</f>
        <v>43559.5903946288</v>
      </c>
      <c r="I13" s="34" t="n">
        <f aca="false">I11-I12</f>
        <v>52498.1834620579</v>
      </c>
      <c r="J13" s="34" t="n">
        <f aca="false">J11-J12</f>
        <v>63038.0354841594</v>
      </c>
      <c r="K13" s="34" t="n">
        <f aca="false">K11-K12</f>
        <v>75373.1798432292</v>
      </c>
      <c r="L13" s="34" t="n">
        <f aca="false">L11-L12</f>
        <v>89683.1506048373</v>
      </c>
      <c r="M13" s="34" t="n">
        <f aca="false">M11-M12</f>
        <v>106111.193156842</v>
      </c>
      <c r="N13" s="34" t="n">
        <f aca="false">SUM(B13:M13)</f>
        <v>570558.177503435</v>
      </c>
    </row>
    <row r="14" customFormat="false" ht="15" hidden="false" customHeight="false" outlineLevel="0" collapsed="false">
      <c r="A14" s="5" t="s">
        <v>246</v>
      </c>
      <c r="B14" s="10" t="n">
        <f aca="false">IF(B11=0,0,B13/B11)</f>
        <v>0.387122636004656</v>
      </c>
      <c r="C14" s="10" t="n">
        <f aca="false">IF(C11=0,0,C13/C11)</f>
        <v>0.387084027483743</v>
      </c>
      <c r="D14" s="10" t="n">
        <f aca="false">IF(D11=0,0,D13/D11)</f>
        <v>0.386862816130595</v>
      </c>
      <c r="E14" s="10" t="n">
        <f aca="false">IF(E11=0,0,E13/E11)</f>
        <v>0.386329585471098</v>
      </c>
      <c r="F14" s="10" t="n">
        <f aca="false">IF(F11=0,0,F13/F11)</f>
        <v>0.385370529178832</v>
      </c>
      <c r="G14" s="10" t="n">
        <f aca="false">IF(G11=0,0,G13/G11)</f>
        <v>0.383878371976025</v>
      </c>
      <c r="H14" s="10" t="n">
        <f aca="false">IF(H11=0,0,H13/H11)</f>
        <v>0.381747817275098</v>
      </c>
      <c r="I14" s="10" t="n">
        <f aca="false">IF(I11=0,0,I13/I11)</f>
        <v>0.378872086356243</v>
      </c>
      <c r="J14" s="10" t="n">
        <f aca="false">IF(J11=0,0,J13/J11)</f>
        <v>0.375139717377199</v>
      </c>
      <c r="K14" s="10" t="n">
        <f aca="false">IF(K11=0,0,K13/K11)</f>
        <v>0.370431254422564</v>
      </c>
      <c r="L14" s="10" t="n">
        <f aca="false">IF(L11=0,0,L13/L11)</f>
        <v>0.364615574902167</v>
      </c>
      <c r="M14" s="10" t="n">
        <f aca="false">IF(M11=0,0,M13/M11)</f>
        <v>0.357545616632184</v>
      </c>
      <c r="N14" s="10" t="n">
        <f aca="false">IF(N11=0,0,N13/N11)</f>
        <v>0.372759259554417</v>
      </c>
    </row>
    <row r="15" customFormat="false" ht="15" hidden="false" customHeight="false" outlineLevel="0" collapsed="false">
      <c r="A15" s="5" t="s">
        <v>465</v>
      </c>
      <c r="B15" s="16" t="n">
        <f aca="false">Inputs!$B$59</f>
        <v>75000</v>
      </c>
      <c r="C15" s="16" t="n">
        <f aca="false">Inputs!$B$59</f>
        <v>75000</v>
      </c>
      <c r="D15" s="16" t="n">
        <f aca="false">Inputs!$B$59</f>
        <v>75000</v>
      </c>
      <c r="E15" s="16" t="n">
        <f aca="false">Inputs!$B$59</f>
        <v>75000</v>
      </c>
      <c r="F15" s="16" t="n">
        <f aca="false">Inputs!$B$59</f>
        <v>75000</v>
      </c>
      <c r="G15" s="16" t="n">
        <f aca="false">Inputs!$B$59</f>
        <v>75000</v>
      </c>
      <c r="H15" s="16" t="n">
        <f aca="false">Inputs!$B$59</f>
        <v>75000</v>
      </c>
      <c r="I15" s="16" t="n">
        <f aca="false">Inputs!$B$59</f>
        <v>75000</v>
      </c>
      <c r="J15" s="16" t="n">
        <f aca="false">Inputs!$B$59</f>
        <v>75000</v>
      </c>
      <c r="K15" s="16" t="n">
        <f aca="false">Inputs!$B$59</f>
        <v>75000</v>
      </c>
      <c r="L15" s="16" t="n">
        <f aca="false">Inputs!$B$59</f>
        <v>75000</v>
      </c>
      <c r="M15" s="16" t="n">
        <f aca="false">Inputs!$B$59</f>
        <v>75000</v>
      </c>
      <c r="N15" s="16" t="n">
        <f aca="false">SUM(B15:M15)</f>
        <v>900000</v>
      </c>
    </row>
    <row r="16" customFormat="false" ht="15" hidden="false" customHeight="false" outlineLevel="0" collapsed="false">
      <c r="A16" s="4" t="s">
        <v>466</v>
      </c>
      <c r="B16" s="33" t="n">
        <f aca="false">B13-B15</f>
        <v>-61485.8453691837</v>
      </c>
      <c r="C16" s="33" t="n">
        <f aca="false">C13-C15</f>
        <v>-58515.414113807</v>
      </c>
      <c r="D16" s="33" t="n">
        <f aca="false">D13-D15</f>
        <v>-54907.5500865067</v>
      </c>
      <c r="E16" s="33" t="n">
        <f aca="false">E13-E15</f>
        <v>-50542.2685009384</v>
      </c>
      <c r="F16" s="33" t="n">
        <f aca="false">F13-F15</f>
        <v>-45282.0846937557</v>
      </c>
      <c r="G16" s="33" t="n">
        <f aca="false">G13-G15</f>
        <v>-38971.9926781285</v>
      </c>
      <c r="H16" s="33" t="n">
        <f aca="false">H13-H15</f>
        <v>-31440.4096053712</v>
      </c>
      <c r="I16" s="33" t="n">
        <f aca="false">I13-I15</f>
        <v>-22501.8165379421</v>
      </c>
      <c r="J16" s="33" t="n">
        <f aca="false">J13-J15</f>
        <v>-11961.9645158407</v>
      </c>
      <c r="K16" s="33" t="n">
        <f aca="false">K13-K15</f>
        <v>373.179843229242</v>
      </c>
      <c r="L16" s="33" t="n">
        <f aca="false">L13-L15</f>
        <v>14683.1506048373</v>
      </c>
      <c r="M16" s="33" t="n">
        <f aca="false">M13-M15</f>
        <v>31111.1931568417</v>
      </c>
      <c r="N16" s="33" t="n">
        <f aca="false">SUM(B16:M16)</f>
        <v>-329441.822496566</v>
      </c>
    </row>
    <row r="17" customFormat="false" ht="15" hidden="false" customHeight="false" outlineLevel="0" collapsed="false">
      <c r="A17" s="5" t="s">
        <v>467</v>
      </c>
      <c r="B17" s="16" t="n">
        <f aca="false">B16</f>
        <v>-61485.8453691837</v>
      </c>
      <c r="C17" s="16" t="n">
        <f aca="false">B17+C16</f>
        <v>-120001.259482991</v>
      </c>
      <c r="D17" s="16" t="n">
        <f aca="false">C17+D16</f>
        <v>-174908.809569497</v>
      </c>
      <c r="E17" s="16" t="n">
        <f aca="false">D17+E16</f>
        <v>-225451.078070436</v>
      </c>
      <c r="F17" s="16" t="n">
        <f aca="false">E17+F16</f>
        <v>-270733.162764191</v>
      </c>
      <c r="G17" s="16" t="n">
        <f aca="false">F17+G16</f>
        <v>-309705.15544232</v>
      </c>
      <c r="H17" s="16" t="n">
        <f aca="false">G17+H16</f>
        <v>-341145.565047691</v>
      </c>
      <c r="I17" s="16" t="n">
        <f aca="false">H17+I16</f>
        <v>-363647.381585633</v>
      </c>
      <c r="J17" s="16" t="n">
        <f aca="false">I17+J16</f>
        <v>-375609.346101474</v>
      </c>
      <c r="K17" s="16" t="n">
        <f aca="false">J17+K16</f>
        <v>-375236.166258245</v>
      </c>
      <c r="L17" s="16" t="n">
        <f aca="false">K17+L16</f>
        <v>-360553.015653407</v>
      </c>
      <c r="M17" s="16" t="n">
        <f aca="false">L17+M16</f>
        <v>-329441.822496566</v>
      </c>
    </row>
    <row r="18" customFormat="false" ht="15" hidden="false" customHeight="false" outlineLevel="0" collapsed="false">
      <c r="A18" s="5" t="s">
        <v>468</v>
      </c>
      <c r="B18" s="16" t="n">
        <f aca="false">B5*(B8*Plan_Economics!$D$33+B9*Plan_Economics!$E$33)</f>
        <v>0</v>
      </c>
      <c r="C18" s="16" t="n">
        <f aca="false">C5*(C8*Plan_Economics!$D$33+C9*Plan_Economics!$E$33)</f>
        <v>38.1086077697639</v>
      </c>
      <c r="D18" s="16" t="n">
        <f aca="false">D5*(D8*Plan_Economics!$D$33+D9*Plan_Economics!$E$33)</f>
        <v>312.763022639706</v>
      </c>
      <c r="E18" s="16" t="n">
        <f aca="false">E5*(E8*Plan_Economics!$D$33+E9*Plan_Economics!$E$33)</f>
        <v>1163.66023768394</v>
      </c>
      <c r="F18" s="16" t="n">
        <f aca="false">F5*(F8*Plan_Economics!$D$33+F9*Plan_Economics!$E$33)</f>
        <v>3131.60913367643</v>
      </c>
      <c r="G18" s="16" t="n">
        <f aca="false">G5*(G8*Plan_Economics!$D$33+G9*Plan_Economics!$E$33)</f>
        <v>7057.15924656184</v>
      </c>
      <c r="H18" s="16" t="n">
        <f aca="false">H5*(H8*Plan_Economics!$D$33+H9*Plan_Economics!$E$33)</f>
        <v>14214.7155940826</v>
      </c>
      <c r="I18" s="16" t="n">
        <f aca="false">I5*(I8*Plan_Economics!$D$33+I9*Plan_Economics!$E$33)</f>
        <v>26497.303304556</v>
      </c>
      <c r="J18" s="16" t="n">
        <f aca="false">J5*(J8*Plan_Economics!$D$33+J9*Plan_Economics!$E$33)</f>
        <v>46670.1677426756</v>
      </c>
      <c r="K18" s="16" t="n">
        <f aca="false">K5*(K8*Plan_Economics!$D$33+K9*Plan_Economics!$E$33)</f>
        <v>78717.0172172168</v>
      </c>
      <c r="L18" s="16" t="n">
        <f aca="false">L5*(L8*Plan_Economics!$D$33+L9*Plan_Economics!$E$33)</f>
        <v>128310.311393597</v>
      </c>
      <c r="M18" s="16" t="n">
        <f aca="false">M5*(M8*Plan_Economics!$D$33+M9*Plan_Economics!$E$33)</f>
        <v>203446.992328965</v>
      </c>
      <c r="N18" s="16" t="n">
        <f aca="false">SUM(B18:M18)</f>
        <v>509559.807829425</v>
      </c>
    </row>
    <row r="19" customFormat="false" ht="15" hidden="false" customHeight="false" outlineLevel="0" collapsed="false">
      <c r="A19" s="4" t="s">
        <v>469</v>
      </c>
      <c r="B19" s="48" t="n">
        <f aca="false">IF(B11=0,0,B18/B11)</f>
        <v>0</v>
      </c>
      <c r="C19" s="48" t="n">
        <f aca="false">IF(C11=0,0,C18/C11)</f>
        <v>0.000894850102948212</v>
      </c>
      <c r="D19" s="48" t="n">
        <f aca="false">IF(D11=0,0,D18/D11)</f>
        <v>0.00602198259748591</v>
      </c>
      <c r="E19" s="48" t="n">
        <f aca="false">IF(E11=0,0,E18/E11)</f>
        <v>0.0183809515314567</v>
      </c>
      <c r="F19" s="48" t="n">
        <f aca="false">IF(F11=0,0,F18/F11)</f>
        <v>0.0406095063058669</v>
      </c>
      <c r="G19" s="48" t="n">
        <f aca="false">IF(G11=0,0,G18/G11)</f>
        <v>0.0751940227541008</v>
      </c>
      <c r="H19" s="48" t="n">
        <f aca="false">IF(H11=0,0,H18/H11)</f>
        <v>0.124575015560671</v>
      </c>
      <c r="I19" s="48" t="n">
        <f aca="false">IF(I11=0,0,I18/I11)</f>
        <v>0.1912273515724</v>
      </c>
      <c r="J19" s="48" t="n">
        <f aca="false">IF(J11=0,0,J18/J11)</f>
        <v>0.277734440841407</v>
      </c>
      <c r="K19" s="48" t="n">
        <f aca="false">IF(K11=0,0,K18/K11)</f>
        <v>0.386864976279697</v>
      </c>
      <c r="L19" s="48" t="n">
        <f aca="false">IF(L11=0,0,L18/L11)</f>
        <v>0.521658055489067</v>
      </c>
      <c r="M19" s="48" t="n">
        <f aca="false">IF(M11=0,0,M18/M11)</f>
        <v>0.685522216461222</v>
      </c>
      <c r="N19" s="48" t="n">
        <f aca="false">IF(N11=0,0,N18/N11)</f>
        <v>0.332907570436223</v>
      </c>
    </row>
    <row r="21" customFormat="false" ht="15" hidden="false" customHeight="false" outlineLevel="0" collapsed="false">
      <c r="A21" s="3" t="s">
        <v>470</v>
      </c>
    </row>
    <row r="22" customFormat="false" ht="15" hidden="false" customHeight="false" outlineLevel="0" collapsed="false">
      <c r="A22" s="4" t="s">
        <v>471</v>
      </c>
      <c r="B22" s="49" t="n">
        <f aca="false">Inputs!$B$59/(M10-Plan_Economics!$C$34)</f>
        <v>377928.334209044</v>
      </c>
      <c r="D22" s="8" t="s">
        <v>472</v>
      </c>
    </row>
    <row r="23" customFormat="false" ht="15" hidden="false" customHeight="false" outlineLevel="0" collapsed="false">
      <c r="A23" s="4" t="s">
        <v>473</v>
      </c>
      <c r="B23" s="24" t="n">
        <f aca="false">M5/B22</f>
        <v>1.41481590875789</v>
      </c>
    </row>
    <row r="24" customFormat="false" ht="15" hidden="false" customHeight="false" outlineLevel="0" collapsed="false">
      <c r="A24" s="4" t="s">
        <v>474</v>
      </c>
      <c r="B24" s="23" t="n">
        <f aca="false">IFERROR(MATCH(TRUE(),INDEX(B16:M16&gt;0,0),0),"None")</f>
        <v>10</v>
      </c>
      <c r="D24" s="8"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8"/>
    <col collapsed="false" customWidth="true" hidden="false" outlineLevel="0" max="5" min="5" style="0" width="55"/>
  </cols>
  <sheetData>
    <row r="1" customFormat="false" ht="17.35" hidden="false" customHeight="false" outlineLevel="0" collapsed="false">
      <c r="A1" s="1" t="s">
        <v>476</v>
      </c>
    </row>
    <row r="2" customFormat="false" ht="15" hidden="false" customHeight="false" outlineLevel="0" collapsed="false">
      <c r="A2" s="2" t="s">
        <v>477</v>
      </c>
    </row>
    <row r="4" customFormat="false" ht="15" hidden="false" customHeight="false" outlineLevel="0" collapsed="false">
      <c r="A4" s="6" t="s">
        <v>236</v>
      </c>
      <c r="B4" s="6" t="s">
        <v>478</v>
      </c>
      <c r="C4" s="6" t="s">
        <v>479</v>
      </c>
      <c r="D4" s="6" t="s">
        <v>480</v>
      </c>
      <c r="E4" s="6" t="s">
        <v>237</v>
      </c>
    </row>
    <row r="5" customFormat="false" ht="15" hidden="false" customHeight="false" outlineLevel="0" collapsed="false">
      <c r="A5" s="5" t="s">
        <v>459</v>
      </c>
      <c r="B5" s="50" t="n">
        <f aca="false">Forecast_12M!N5</f>
        <v>2692421.83601534</v>
      </c>
      <c r="C5" s="23" t="n">
        <f aca="false">B5*(1+Inputs!$B$66)</f>
        <v>5923328.03923375</v>
      </c>
      <c r="D5" s="23" t="n">
        <f aca="false">C5*(1+Inputs!$B$67)</f>
        <v>10661990.4706207</v>
      </c>
      <c r="E5" s="8"/>
    </row>
    <row r="6" customFormat="false" ht="15" hidden="false" customHeight="false" outlineLevel="0" collapsed="false">
      <c r="A6" s="5" t="s">
        <v>291</v>
      </c>
      <c r="B6" s="29" t="n">
        <f aca="false">Forecast_12M!N11/Forecast_12M!N5</f>
        <v>0.568497278224638</v>
      </c>
      <c r="C6" s="29" t="n">
        <f aca="false">Forecast_12M!M10*(1-Inputs!$B$64)</f>
        <v>0.471779730236745</v>
      </c>
      <c r="D6" s="21" t="n">
        <f aca="false">C6*(1-Inputs!$B$64)</f>
        <v>0.401012770701233</v>
      </c>
      <c r="E6" s="8" t="s">
        <v>481</v>
      </c>
    </row>
    <row r="7" customFormat="false" ht="15" hidden="false" customHeight="false" outlineLevel="0" collapsed="false">
      <c r="A7" s="5" t="s">
        <v>292</v>
      </c>
      <c r="B7" s="29" t="n">
        <f aca="false">Plan_Economics!$C$34</f>
        <v>0.356584653734921</v>
      </c>
      <c r="C7" s="21" t="n">
        <f aca="false">B7*(1-Inputs!$B$64)</f>
        <v>0.303096955674683</v>
      </c>
      <c r="D7" s="21" t="n">
        <f aca="false">C7*(1-Inputs!$B$64)</f>
        <v>0.25763241232348</v>
      </c>
      <c r="E7" s="8" t="s">
        <v>482</v>
      </c>
    </row>
    <row r="8" customFormat="false" ht="15" hidden="false" customHeight="false" outlineLevel="0" collapsed="false">
      <c r="A8" s="4" t="s">
        <v>464</v>
      </c>
      <c r="B8" s="33" t="n">
        <f aca="false">Forecast_12M!N11</f>
        <v>1530634.4856073</v>
      </c>
      <c r="C8" s="33" t="n">
        <f aca="false">C5*C6</f>
        <v>2794506.10445345</v>
      </c>
      <c r="D8" s="33" t="n">
        <f aca="false">D5*D6</f>
        <v>4275594.33981377</v>
      </c>
      <c r="E8" s="8"/>
    </row>
    <row r="9" customFormat="false" ht="15" hidden="false" customHeight="false" outlineLevel="0" collapsed="false">
      <c r="A9" s="5" t="s">
        <v>243</v>
      </c>
      <c r="B9" s="35" t="n">
        <f aca="false">Forecast_12M!N12</f>
        <v>960076.308103869</v>
      </c>
      <c r="C9" s="16" t="n">
        <f aca="false">C5*C7</f>
        <v>1795342.69615424</v>
      </c>
      <c r="D9" s="16" t="n">
        <f aca="false">D5*D7</f>
        <v>2746874.32511598</v>
      </c>
      <c r="E9" s="8"/>
    </row>
    <row r="10" customFormat="false" ht="15" hidden="false" customHeight="false" outlineLevel="0" collapsed="false">
      <c r="A10" s="4" t="s">
        <v>245</v>
      </c>
      <c r="B10" s="33" t="n">
        <f aca="false">B8-B9</f>
        <v>570558.177503434</v>
      </c>
      <c r="C10" s="33" t="n">
        <f aca="false">C8-C9</f>
        <v>999163.408299211</v>
      </c>
      <c r="D10" s="33" t="n">
        <f aca="false">D8-D9</f>
        <v>1528720.01469779</v>
      </c>
      <c r="E10" s="8"/>
    </row>
    <row r="11" customFormat="false" ht="15" hidden="false" customHeight="false" outlineLevel="0" collapsed="false">
      <c r="A11" s="5" t="s">
        <v>246</v>
      </c>
      <c r="B11" s="10" t="n">
        <f aca="false">B10/B8</f>
        <v>0.372759259554417</v>
      </c>
      <c r="C11" s="10" t="n">
        <f aca="false">C10/C8</f>
        <v>0.357545616632184</v>
      </c>
      <c r="D11" s="10" t="n">
        <f aca="false">D10/D8</f>
        <v>0.357545616632184</v>
      </c>
      <c r="E11" s="8"/>
    </row>
    <row r="12" customFormat="false" ht="15" hidden="false" customHeight="false" outlineLevel="0" collapsed="false">
      <c r="A12" s="5" t="s">
        <v>465</v>
      </c>
      <c r="B12" s="35" t="n">
        <f aca="false">Forecast_12M!N15</f>
        <v>900000</v>
      </c>
      <c r="C12" s="16" t="n">
        <f aca="false">B12*(1+Inputs!$B$65)</f>
        <v>927000</v>
      </c>
      <c r="D12" s="16" t="n">
        <f aca="false">C12*(1+Inputs!$B$65)</f>
        <v>954810</v>
      </c>
      <c r="E12" s="8"/>
    </row>
    <row r="13" customFormat="false" ht="15" hidden="false" customHeight="false" outlineLevel="0" collapsed="false">
      <c r="A13" s="4" t="s">
        <v>466</v>
      </c>
      <c r="B13" s="33" t="n">
        <f aca="false">B10-B12</f>
        <v>-329441.822496566</v>
      </c>
      <c r="C13" s="33" t="n">
        <f aca="false">C10-C12</f>
        <v>72163.4082992114</v>
      </c>
      <c r="D13" s="33" t="n">
        <f aca="false">D10-D12</f>
        <v>573910.014697793</v>
      </c>
      <c r="E13" s="8"/>
    </row>
    <row r="14" customFormat="false" ht="15" hidden="false" customHeight="false" outlineLevel="0" collapsed="false">
      <c r="A14" s="5" t="s">
        <v>467</v>
      </c>
      <c r="B14" s="16" t="n">
        <f aca="false">B13</f>
        <v>-329441.822496566</v>
      </c>
      <c r="C14" s="16" t="n">
        <f aca="false">B14+C13</f>
        <v>-257278.414197354</v>
      </c>
      <c r="D14" s="16" t="n">
        <f aca="false">C14+D13</f>
        <v>316631.600500439</v>
      </c>
      <c r="E14" s="8" t="s">
        <v>483</v>
      </c>
    </row>
    <row r="15" customFormat="false" ht="15" hidden="false" customHeight="false" outlineLevel="0" collapsed="false">
      <c r="A15" s="5" t="s">
        <v>468</v>
      </c>
      <c r="B15" s="35" t="n">
        <f aca="false">Forecast_12M!N18</f>
        <v>509559.807829425</v>
      </c>
      <c r="C15" s="16" t="n">
        <f aca="false">C8*$C$16</f>
        <v>2059550.99898219</v>
      </c>
      <c r="D15" s="16" t="n">
        <f aca="false">D8*$D$16</f>
        <v>3369168.33977325</v>
      </c>
      <c r="E15" s="8"/>
    </row>
    <row r="16" customFormat="false" ht="15" hidden="false" customHeight="false" outlineLevel="0" collapsed="false">
      <c r="A16" s="5" t="s">
        <v>469</v>
      </c>
      <c r="B16" s="10" t="n">
        <f aca="false">B15/B8</f>
        <v>0.332907570436223</v>
      </c>
      <c r="C16" s="9" t="n">
        <v>0.737</v>
      </c>
      <c r="D16" s="9" t="n">
        <v>0.788</v>
      </c>
      <c r="E16" s="8" t="s">
        <v>484</v>
      </c>
    </row>
    <row r="17" customFormat="false" ht="15" hidden="false" customHeight="false" outlineLevel="0" collapsed="false">
      <c r="A17" s="4" t="s">
        <v>293</v>
      </c>
      <c r="B17" s="26" t="n">
        <f aca="false">B10/B5</f>
        <v>0.211912624489717</v>
      </c>
      <c r="C17" s="26" t="n">
        <f aca="false">C10/C5</f>
        <v>0.168682774562063</v>
      </c>
      <c r="D17" s="26" t="n">
        <f aca="false">D10/D5</f>
        <v>0.143380358377753</v>
      </c>
      <c r="E17" s="8" t="s">
        <v>485</v>
      </c>
    </row>
    <row r="20" customFormat="false" ht="15" hidden="false" customHeight="false" outlineLevel="0" collapsed="false">
      <c r="A20" s="8" t="s">
        <v>486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50"/>
  </cols>
  <sheetData>
    <row r="1" customFormat="false" ht="17.35" hidden="false" customHeight="false" outlineLevel="0" collapsed="false">
      <c r="A1" s="1" t="s">
        <v>487</v>
      </c>
    </row>
    <row r="2" customFormat="false" ht="15" hidden="false" customHeight="false" outlineLevel="0" collapsed="false">
      <c r="A2" s="2" t="s">
        <v>488</v>
      </c>
    </row>
    <row r="4" customFormat="false" ht="15" hidden="false" customHeight="false" outlineLevel="0" collapsed="false">
      <c r="A4" s="3" t="s">
        <v>489</v>
      </c>
    </row>
    <row r="5" customFormat="false" ht="15" hidden="false" customHeight="false" outlineLevel="0" collapsed="false">
      <c r="A5" s="4" t="s">
        <v>490</v>
      </c>
      <c r="B5" s="51" t="s">
        <v>172</v>
      </c>
    </row>
    <row r="6" customFormat="false" ht="15" hidden="false" customHeight="false" outlineLevel="0" collapsed="false">
      <c r="A6" s="4" t="s">
        <v>491</v>
      </c>
      <c r="B6" s="29" t="n">
        <f aca="false">Rate_Card!N10</f>
        <v>0.226600185714286</v>
      </c>
    </row>
    <row r="7" customFormat="false" ht="15" hidden="false" customHeight="false" outlineLevel="0" collapsed="false">
      <c r="A7" s="4" t="s">
        <v>492</v>
      </c>
      <c r="B7" s="29" t="n">
        <f aca="false">Rate_Card!O10</f>
        <v>0.113299657142857</v>
      </c>
    </row>
    <row r="8" customFormat="false" ht="15" hidden="false" customHeight="false" outlineLevel="0" collapsed="false">
      <c r="A8" s="4" t="s">
        <v>493</v>
      </c>
      <c r="B8" s="29" t="n">
        <f aca="false">Rate_Card!P10</f>
        <v>0.331100157142857</v>
      </c>
    </row>
    <row r="9" customFormat="false" ht="15" hidden="false" customHeight="false" outlineLevel="0" collapsed="false">
      <c r="A9" s="4" t="s">
        <v>494</v>
      </c>
      <c r="B9" s="29" t="n">
        <f aca="false">Rate_Card!Q10</f>
        <v>0.224840074285714</v>
      </c>
    </row>
    <row r="10" customFormat="false" ht="15" hidden="false" customHeight="false" outlineLevel="0" collapsed="false">
      <c r="A10" s="4" t="s">
        <v>495</v>
      </c>
      <c r="B10" s="32" t="n">
        <v>1320000</v>
      </c>
    </row>
    <row r="11" customFormat="false" ht="15" hidden="false" customHeight="false" outlineLevel="0" collapsed="false">
      <c r="A11" s="4" t="s">
        <v>496</v>
      </c>
      <c r="B11" s="16" t="n">
        <f aca="false">B10*B9</f>
        <v>296788.898057143</v>
      </c>
    </row>
    <row r="12" customFormat="false" ht="15" hidden="false" customHeight="false" outlineLevel="0" collapsed="false">
      <c r="A12" s="4" t="s">
        <v>100</v>
      </c>
      <c r="B12" s="32" t="n">
        <v>2</v>
      </c>
    </row>
    <row r="13" customFormat="false" ht="15" hidden="false" customHeight="false" outlineLevel="0" collapsed="false">
      <c r="A13" s="4" t="s">
        <v>103</v>
      </c>
      <c r="B13" s="25" t="n">
        <f aca="false">Inputs!D24</f>
        <v>0.08</v>
      </c>
    </row>
    <row r="14" customFormat="false" ht="15" hidden="false" customHeight="false" outlineLevel="0" collapsed="false">
      <c r="A14" s="4" t="s">
        <v>104</v>
      </c>
      <c r="B14" s="25" t="n">
        <f aca="false">Inputs!E24</f>
        <v>0.11</v>
      </c>
    </row>
    <row r="15" customFormat="false" ht="15" hidden="false" customHeight="false" outlineLevel="0" collapsed="false">
      <c r="A15" s="4" t="s">
        <v>277</v>
      </c>
      <c r="B15" s="35" t="n">
        <f aca="false">Inputs!C24</f>
        <v>20833.3333333333</v>
      </c>
    </row>
    <row r="16" customFormat="false" ht="15" hidden="false" customHeight="false" outlineLevel="0" collapsed="false">
      <c r="A16" s="4" t="s">
        <v>497</v>
      </c>
      <c r="B16" s="16" t="n">
        <f aca="false">B14/(1-B12)</f>
        <v>-0.11</v>
      </c>
    </row>
    <row r="17" customFormat="false" ht="15" hidden="false" customHeight="false" outlineLevel="0" collapsed="false">
      <c r="A17" s="4" t="s">
        <v>101</v>
      </c>
      <c r="B17" s="35" t="n">
        <f aca="false">Inputs!B24</f>
        <v>250000</v>
      </c>
    </row>
    <row r="19" customFormat="false" ht="15" hidden="false" customHeight="false" outlineLevel="0" collapsed="false">
      <c r="A19" s="3" t="s">
        <v>498</v>
      </c>
    </row>
    <row r="20" customFormat="false" ht="23.85" hidden="false" customHeight="false" outlineLevel="0" collapsed="false">
      <c r="A20" s="6" t="s">
        <v>121</v>
      </c>
      <c r="B20" s="6" t="s">
        <v>278</v>
      </c>
      <c r="C20" s="6" t="s">
        <v>499</v>
      </c>
      <c r="D20" s="6" t="s">
        <v>500</v>
      </c>
      <c r="E20" s="6" t="s">
        <v>501</v>
      </c>
    </row>
    <row r="21" customFormat="false" ht="15" hidden="false" customHeight="false" outlineLevel="0" collapsed="false">
      <c r="A21" s="11" t="s">
        <v>502</v>
      </c>
      <c r="C21" s="16" t="n">
        <f aca="false">B9/12*B10</f>
        <v>24732.4081714286</v>
      </c>
    </row>
    <row r="22" customFormat="false" ht="15" hidden="false" customHeight="false" outlineLevel="0" collapsed="false">
      <c r="A22" s="11" t="s">
        <v>123</v>
      </c>
      <c r="B22" s="9" t="n">
        <v>0</v>
      </c>
      <c r="C22" s="16" t="n">
        <f aca="false">B11</f>
        <v>296788.898057143</v>
      </c>
      <c r="D22" s="40"/>
      <c r="E22" s="10" t="n">
        <v>0</v>
      </c>
    </row>
    <row r="23" customFormat="false" ht="15" hidden="false" customHeight="false" outlineLevel="0" collapsed="false">
      <c r="A23" s="11" t="s">
        <v>114</v>
      </c>
      <c r="B23" s="25" t="n">
        <f aca="false">B12</f>
        <v>2</v>
      </c>
      <c r="C23" s="16" t="n">
        <f aca="false">12*(MIN($C$21,$B$15)*(1-B12)+MAX(0,$C$21-$B$15))</f>
        <v>-203211.101942857</v>
      </c>
      <c r="D23" s="16" t="n">
        <f aca="false">C22-C23</f>
        <v>500000</v>
      </c>
      <c r="E23" s="10" t="n">
        <f aca="false">D23/C22</f>
        <v>1.68469913555773</v>
      </c>
      <c r="F23" s="8" t="s">
        <v>503</v>
      </c>
    </row>
    <row r="24" customFormat="false" ht="15" hidden="false" customHeight="false" outlineLevel="0" collapsed="false">
      <c r="A24" s="11" t="s">
        <v>115</v>
      </c>
      <c r="B24" s="25" t="n">
        <f aca="false">B13</f>
        <v>0.08</v>
      </c>
      <c r="C24" s="16" t="n">
        <f aca="false">B11*(1-B13)</f>
        <v>273045.786212571</v>
      </c>
      <c r="D24" s="16" t="n">
        <f aca="false">C22-C24</f>
        <v>23743.1118445714</v>
      </c>
      <c r="E24" s="10" t="n">
        <f aca="false">D24/C22</f>
        <v>0.08</v>
      </c>
    </row>
    <row r="26" customFormat="false" ht="15" hidden="false" customHeight="false" outlineLevel="0" collapsed="false">
      <c r="A26" s="3" t="s">
        <v>504</v>
      </c>
    </row>
    <row r="27" customFormat="false" ht="15" hidden="false" customHeight="false" outlineLevel="0" collapsed="false">
      <c r="A27" s="8" t="s">
        <v>505</v>
      </c>
    </row>
    <row r="28" customFormat="false" ht="23.85" hidden="false" customHeight="false" outlineLevel="0" collapsed="false">
      <c r="A28" s="6" t="s">
        <v>506</v>
      </c>
      <c r="B28" s="6" t="s">
        <v>507</v>
      </c>
      <c r="C28" s="6" t="s">
        <v>508</v>
      </c>
      <c r="D28" s="6" t="s">
        <v>509</v>
      </c>
      <c r="E28" s="6" t="s">
        <v>510</v>
      </c>
    </row>
    <row r="29" customFormat="false" ht="15" hidden="false" customHeight="false" outlineLevel="0" collapsed="false">
      <c r="A29" s="11" t="s">
        <v>511</v>
      </c>
      <c r="B29" s="16" t="n">
        <f aca="false">55000*$B$9</f>
        <v>12366.2040857143</v>
      </c>
      <c r="C29" s="16" t="n">
        <f aca="false">B29</f>
        <v>12366.2040857143</v>
      </c>
      <c r="D29" s="16" t="n">
        <f aca="false">MAX($B$14,MIN(B29,$B$15)*(1-$B$12)+MAX(0,B29-$B$15))</f>
        <v>0.11</v>
      </c>
      <c r="E29" s="16" t="n">
        <f aca="false">B29*(1-$B$13)</f>
        <v>11376.9077588571</v>
      </c>
    </row>
    <row r="30" customFormat="false" ht="15" hidden="false" customHeight="false" outlineLevel="0" collapsed="false">
      <c r="A30" s="11" t="s">
        <v>512</v>
      </c>
      <c r="B30" s="16" t="n">
        <f aca="false">165000*$B$9</f>
        <v>37098.6122571429</v>
      </c>
      <c r="C30" s="16" t="n">
        <f aca="false">B30</f>
        <v>37098.6122571429</v>
      </c>
      <c r="D30" s="16" t="n">
        <f aca="false">MAX($B$14,MIN(B30,$B$15)*(1-$B$12)+MAX(0,B30-$B$15))</f>
        <v>0.11</v>
      </c>
      <c r="E30" s="16" t="n">
        <f aca="false">B30*(1-$B$13)</f>
        <v>34130.7232765714</v>
      </c>
    </row>
    <row r="31" customFormat="false" ht="15" hidden="false" customHeight="false" outlineLevel="0" collapsed="false">
      <c r="A31" s="11" t="s">
        <v>458</v>
      </c>
      <c r="B31" s="33" t="n">
        <f aca="false">6*B29+6*B30</f>
        <v>296788.898057143</v>
      </c>
      <c r="C31" s="33" t="n">
        <f aca="false">6*C29+6*C30</f>
        <v>296788.898057143</v>
      </c>
      <c r="D31" s="33" t="n">
        <f aca="false">6*D29+6*D30</f>
        <v>1.32</v>
      </c>
      <c r="E31" s="33" t="n">
        <f aca="false">6*E29+6*E30</f>
        <v>273045.786212571</v>
      </c>
      <c r="F31" s="8" t="s">
        <v>513</v>
      </c>
    </row>
    <row r="33" customFormat="false" ht="15" hidden="false" customHeight="false" outlineLevel="0" collapsed="false">
      <c r="A33" s="3" t="s">
        <v>308</v>
      </c>
    </row>
    <row r="34" customFormat="false" ht="15" hidden="false" customHeight="false" outlineLevel="0" collapsed="false">
      <c r="A34" s="8" t="s">
        <v>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2026-07-31T21:00:46Z</dcterms:created>
  <dc:creator>openpyxl</dc:creator>
  <dc:description/>
  <dc:language>en-US</dc:language>
  <cp:lastModifiedBy/>
  <dcterms:modified xsi:type="dcterms:W3CDTF">2026-07-31T21:00:46Z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